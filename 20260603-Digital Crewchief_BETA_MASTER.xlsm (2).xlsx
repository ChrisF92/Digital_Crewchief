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python.xml" ContentType="application/vnd.ms-excel.pytho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 codeName="{28389E77-7640-9E18-AD5C-E98E2F4A8B83}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odgovuk-my.sharepoint.com/personal/christopher_flynn104_mod_gov_uk/Documents/FlynnC104/Personal/University of Staffordshire/Final Project/"/>
    </mc:Choice>
  </mc:AlternateContent>
  <xr:revisionPtr revIDLastSave="39" documentId="13_ncr:1_{7B8BB5CF-FA6A-4A7A-9214-13CEB78E8FCC}" xr6:coauthVersionLast="47" xr6:coauthVersionMax="47" xr10:uidLastSave="{09BFD140-6326-4112-937F-562B7592659C}"/>
  <bookViews>
    <workbookView xWindow="-120" yWindow="-120" windowWidth="29040" windowHeight="17520" tabRatio="500" xr2:uid="{00000000-000D-0000-FFFF-FFFF00000000}"/>
  </bookViews>
  <sheets>
    <sheet name="TODO" sheetId="49" r:id="rId1"/>
    <sheet name="Task_Rules" sheetId="84" state="hidden" r:id="rId2"/>
    <sheet name="Settings" sheetId="1" state="hidden" r:id="rId3"/>
    <sheet name="Rotation" sheetId="2" state="hidden" r:id="rId4"/>
    <sheet name="Dashboard" sheetId="4" r:id="rId5"/>
    <sheet name="ZZ382_IMPORT" sheetId="162" r:id="rId6"/>
    <sheet name="ZZ382_CHART" sheetId="163" r:id="rId7"/>
    <sheet name="ZZ388_IMPORT" sheetId="170" r:id="rId8"/>
    <sheet name="ZZ388_CHART" sheetId="171" r:id="rId9"/>
  </sheets>
  <functionGroups builtInGroupCount="19"/>
  <definedNames>
    <definedName name="_xleta.CEILING.MATH" hidden="1" xlm="1">#NAME?</definedName>
    <definedName name="_xleta.TODAY" hidden="1" xlm="1">#NAME?</definedName>
    <definedName name="AlignmentThreshold">Settings!$B$13</definedName>
    <definedName name="CycleLength">Settings!$B$26</definedName>
    <definedName name="DashboardSortOrder">Settings!$B$32</definedName>
    <definedName name="EnableTaskAlignment">Settings!$B$12</definedName>
    <definedName name="FlyingWeek1E1Rate">Settings!$B$20</definedName>
    <definedName name="FlyingWeek1E2Rate">Settings!$B$21</definedName>
    <definedName name="FlyingWeek1HHRate">Settings!$B$19</definedName>
    <definedName name="FlyingWeek2E1Rate">Settings!$C$20</definedName>
    <definedName name="FlyingWeek2E2Rate">Settings!$C$21</definedName>
    <definedName name="FlyingWeek2HHRate">Settings!$C$19</definedName>
    <definedName name="FlyingWeek3E1Rate">Settings!$D$20</definedName>
    <definedName name="FlyingWeek3E2Rate">Settings!$D$21</definedName>
    <definedName name="FlyingWeek3HHRate">Settings!$D$19</definedName>
    <definedName name="FlyingWeeks">Settings!$B$24</definedName>
    <definedName name="FlyingWeeksPerCycle">Settings!$B$24</definedName>
    <definedName name="ForecastEnd">Settings!$B$7</definedName>
    <definedName name="ForecastStart">Settings!$B$5</definedName>
    <definedName name="ForecastStartMode">Settings!$B$4</definedName>
    <definedName name="MaintenanceWeeks">Settings!$B$25</definedName>
    <definedName name="MaxAircraftSlots">Settings!$B$9</definedName>
    <definedName name="MaxExtensionPercent">Settings!$B$14</definedName>
    <definedName name="PullThreshold">Settings!$B$15</definedName>
    <definedName name="ReforecastThreshold">Settings!$B$29</definedName>
    <definedName name="WeeksBeforeForecastStart">Settings!$B$8</definedName>
    <definedName name="WeeksShown">Settings!$B$6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2" l="1"/>
  <c r="F9" i="2"/>
  <c r="F10" i="2"/>
  <c r="F11" i="2"/>
  <c r="E20" i="1"/>
  <c r="E21" i="1"/>
  <c r="E19" i="1"/>
  <c r="B26" i="1"/>
  <c r="F6" i="2" l="1"/>
  <c r="F7" i="2"/>
  <c r="F5" i="2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Flynn, Christopher Sgt (1AAC-WKSP-659SMG-SenSupAv02)</author>
  </authors>
  <commentList>
    <comment ref="D5" authorId="0" shapeId="0" xr:uid="{77BB3669-664B-4B85-BB2D-CE5E701F9BE2}">
      <text>
        <r>
          <rPr>
            <sz val="9"/>
            <color indexed="81"/>
            <rFont val="Arial"/>
            <family val="2"/>
          </rPr>
          <t>HH 25 - 5 task(s):
WC/TVM/1800001 - TRANSMISSION VIBRATION MONITORING
    [Due: 10:21HH]
WC/PMP/7100006 - TEST FLIGHT - PPI CHECK
    [Due: 10:49HH]
WC/PMP/7100006 - TEST FLIGHT - PPI CHECK
    [Due: 10:49HH]
WC/PMP/6522003/1 - TAIL ROTOR GEARBOX MAG PLUG - EXAMINE
    [Due: 10:49HH]
WC/PMP/6522004/1 - TAIL ROTOR GEARBOX - OIL SAMPLE
    [Due: 10:49HH]
DD 28 - 1 task(s):
WC/STORAGE/START - START STORAGE MAINTENANCE SCHEDULE
    [Due: 02/07/2026]
DD 365 - 1 task(s):
WC/MAR - MAR REFORECAST ON RECIEPT OF SIGNED MF710
    [Due: 10/07/2026]</t>
        </r>
      </text>
    </comment>
    <comment ref="E5" authorId="0" shapeId="0" xr:uid="{01236D43-843A-4EFE-8FD7-054EB2BCF19A}">
      <text>
        <r>
          <rPr>
            <sz val="9"/>
            <color indexed="81"/>
            <rFont val="Arial"/>
            <family val="2"/>
          </rPr>
          <t>HH 50 - 1 task(s):
ADF-H - PT.3 ASSOCIATED - 1FL STRUCURAL SUPPORT BRACKET P...
    [Due: 19:49HH]
HH 25 - 3 task(s):
WC/SRA/1800001 - Assess MPGS Small Rotor Adjustments from HUMS RTB...
    [Due: 20:37HH]
WC/PMP/7100009 - PPI CHECK ANALYSIS
    [Due: 15:57HH]
WC/PMP/7100009 - PPI CHECK ANALYSIS
    [Due: 15:57HH]
HH 100 - 1 task(s):
WC/PMP/6410002 - TAIL ROTOR BLADES - EXAMINE
    [Due: 17:44HH]
HH 200 - 4 task(s):
WC/PMP/6220014 - PCR CERAMIC BEARING - IVE
    [Due: 16:04HH]
WC/PMP/6220014 - PCR CERAMIC BEARING - IVE
    [Due: 16:04HH]
WC/PMP/6220014 - PCR CERAMIC BEARING - IVE
    [Due: 16:04HH]
WC/PMP/6220014 - PCR CERAMIC BEARING - IVE
    [Due: 16:04HH]
DD 0 - 3 task(s):
WC/LLC/335100001 - COCKPIT EMERGENCY EGRESS LIGHTS PSU BATTERY
    [Due: 14/07/2026]
WC/LLC/335200003 - LEFT CABIN EMERGENCY EGRESS LIGHTS PSU BATTERY
    [Due: 14/07/2026]
WC/LLC/335200004 - RIGHT CABIN EMERGENCY EGRESS LIGHTS PSU BATTERY
    [Due: 14/07/2026]</t>
        </r>
      </text>
    </comment>
    <comment ref="F5" authorId="0" shapeId="0" xr:uid="{502B593B-BFCB-41DF-B019-74C1C248A32F}">
      <text>
        <r>
          <rPr>
            <sz val="9"/>
            <color indexed="81"/>
            <rFont val="Arial"/>
            <family val="2"/>
          </rPr>
          <t>HH 100 - 4 task(s):
WC/PMP/1810001 - BASIC A/C - VIBRATION MAINTENANCE CHECK
    [Due: 26:46HH]
    [EXT 5%]
WCR0050/2 - WILDCAT LEFT AND RIGHT COCKPIT DOOR HOLD OPEN STR...
    [Due: 27:47HH]
WC/PMP/7200003 - ENGINE COMPRESSOR WASH
    [Due: 38:59HH]
    [PULLED 0%]
WC/PMP/7200003 - ENGINE COMPRESSOR WASH
    [Due: 38:59HH]
    [PULLED 0%]
HH 25 - 7 task(s):
WC/TVM/1800001 - TRANSMISSION VIBRATION MONITORING
    [Due: 10:21HH]
    [PULLED 0%]
WC/PMP/7100006 - TEST FLIGHT - PPI CHECK
    [Due: 10:49HH]
    [PULLED 0%]
WC/PMP/7100009 - PPI CHECK ANALYSIS
    [Due: 15:57HH]
    [PULLED 0%]
WC/PMP/7100006 - TEST FLIGHT - PPI CHECK
    [Due: 10:49HH]
    [PULLED 0%]
WC/PMP/7100009 - PPI CHECK ANALYSIS
    [Due: 15:57HH]
    [PULLED 0%]
WC/PMP/6522003/1 - TAIL ROTOR GEARBOX MAG PLUG - EXAMINE
    [Due: 10:49HH]
    [PULLED 0%]
WC/PMP/6522004/1 - TAIL ROTOR GEARBOX - OIL SAMPLE
    [Due: 10:49HH]
    [PULLED 0%]
HH 600 - 1 task(s):
WC/PMP/6210005 - MRB UPPER AND LOWER SURFACES - EXAMINE
    [Due: 48:28HH]
    [PULLED 3%]
DD 28 - 1 task(s):
WC/STORAGE/START - START STORAGE MAINTENANCE SCHEDULE
    [Due: 30/07/2026]
DD 364 - 2 task(s):
WC/PMP/2511002/1 - CREW SEATS - INTENSIVE VISUAL EXAMINATION
    [Due: 22/07/2026]
    [EXT 2%]
WC/PMP/2511006/1 - CREW SEAT CUSHIONS - GENERAL VISUAL EXAMINATION
    [Due: 22/07/2026]
    [EXT 2%]
DD 90 - 4 task(s):
WC/PMP/4322001 - TRANS BATTERIES - ELECT POWER CHECK
    [Due: 22/07/2026]
    [EXT 8%]
WC/PMP/7200004 - ENGINES - EXAMINE (EXTERNAL)
    [Due: 22/07/2026]
    [EXT 8%]
WC/PMP/7200004 - ENGINES - EXAMINE (EXTERNAL)
    [Due: 22/07/2026]
    [EXT 8%]
WCR0152PTD - MANAGEMENT OF I-BEAM/S406 FRAME CORROSION
    [Due: 04/08/2026]
DD 91 - 2 task(s):
WC/PMP/3040004/1 - WINDSCREEN WIPER SYSTEM - OPERATION TESTS
    [Due: 23/07/2026]
    [EXT 8%]
WC/PMP/6210004/1 - MRB ATTACHMENT PINS - LUBRICATE
    [Due: 23/07/2026]
    [EXT 8%]
DD 728 - 4 task(s):
WC/PMP/6521006 - IGB EXTERNAL SURFACES - EXAMINE
    [Due:
... [comment truncated]</t>
        </r>
      </text>
    </comment>
    <comment ref="G5" authorId="0" shapeId="0" xr:uid="{55410984-3CBE-4FB5-8415-47E02C30C465}">
      <text>
        <r>
          <rPr>
            <sz val="9"/>
            <color indexed="81"/>
            <rFont val="Arial"/>
            <family val="2"/>
          </rPr>
          <t>HH 100 - 13 task(s):
WC/PMP/2511021 - INTENSIVE VISUAL EXAMINATION CREW SEAT VLEA CABLE
    [Due: 52:46HH]
    [EXT 5%]
WC/PMP/1810001 - BASIC A/C - VIBRATION MAINTENANCE CHECK
    [Due: 26:46HH]
    [EXT 5%]
WC/PMP/2810001 - FUEL SYSTEM - WATER/SEDIMENT CHECK
    [Due: 52:46HH]
    [EXT 5%]
WC/PMP/2910010 - NO1 HYDRAULIC SYSTEM
    [Due: 52:46HH]
    [EXT 5%]
WC/PMP/4300003 - CONFORMAL ANTENNA-CHECK TQ LOAD
    [Due: 52:46HH]
    [EXT 5%]
WC/PMP/5328003 - CABIN DOOR RAILS - EXAMINE
    [Due: 52:46HH]
    [EXT 5%]
WC/PMP/5340004 - ENGINE AIR INTAKE FAIRINGS - EXAMINE
    [Due: 52:46HH]
    [EXT 5%]
WC/PMP/5340008 - SCORCH GUARDS AND IRSF DUCTS
    [Due: 52:46HH]
    [EXT 5%]
WC/PMP/6410002 - TAIL ROTOR BLADES - EXAMINE
    [Due: 52:46HH]
    [EXT 5%]
WC/PMP/6410002 - TAIL ROTOR BLADES - EXAMINE
    [Due: 52:46HH]
    [EXT 5%]
WC/PMP/6410002 - TAIL ROTOR BLADES - EXAMINE
    [Due: 52:46HH]
    [EXT 5%]
WC/PMP/6220007 - MRH PITCH CTRL RODS - DIMENSIONS CHECK
    [Due: 52:46HH]
    [EXT 5%]
WC/PMP/6211001 - LPD INTENSIVE VISUAL EXAMINATION
    [Due: 52:46HH]
    [EXT 5%]
DD 364 - 2 task(s):
WC/PMP/2511002/1 - CREW SEATS - INTENSIVE VISUAL EXAMINATION
    [Due: 22/07/2026]
    [EXT 2%]
WC/PMP/2511006/1 - CREW SEAT CUSHIONS - GENERAL VISUAL EXAMINATION
    [Due: 22/07/2026]
    [EXT 2%]
DD 90 - 3 task(s):
WC/PMP/4322001 - TRANS BATTERIES - ELECT POWER CHECK
    [Due: 22/07/2026]
    [EXT 8%]
WC/PMP/7200004 - ENGINES - EXAMINE (EXTERNAL)
    [Due: 22/07/2026]
    [EXT 8%]
WC/PMP/7200004 - ENGINES - EXAMINE (EXTERNAL)
    [Due: 22/07/2026]
    [EXT 8%]
DD 91 - 2 task(s):
WC/PMP/3040004/1 - WINDSCREEN WIPER SYSTEM - OPERATION TESTS
    [Due: 23/07/2026]
    [EXT 8%]
WC/PMP/6210004/1 - MRB ATTACHMENT PINS - LUBRICATE
    [Due: 23/07/2026]
    [EXT 8%]
DD 728 - 1 task(s):
WC/PMP/6521006 - IGB EXTERNAL SURFACES - EXAMINE
    [Due: 23/07/2026]
    [EXT 1%]</t>
        </r>
      </text>
    </comment>
    <comment ref="H5" authorId="0" shapeId="0" xr:uid="{497869F6-E578-4F65-82D5-3C2D577FDE4E}">
      <text>
        <r>
          <rPr>
            <sz val="9"/>
            <color indexed="81"/>
            <rFont val="Arial"/>
            <family val="2"/>
          </rPr>
          <t>E1 170 - 1 task(s):
WCR0196PTB - ENGINE TURBINE  STANDARDISED MANAGEMENT OF COMBUS...
    [Due: 88:31E1]
HH 150 - 1 task(s):
WCR0185PTA - TAILBOOM AND TAIL FIN STRUCTURAL FRAME CRACKING
    [Due: 53:43HH]
HH 50 - 1 task(s):
WCR0197PTB - INSPECTION OF PORT AND STBD 1815F CONTROL FRAME S...
    [Due: 50:00HH]
HH 100 - 2 task(s):
WCR0007/1 - KY100 MTU 1,2 AND 3 MOUNTING TRAY CRACKING
    [Due: 52:46HH]
WCR0050/2 - WILDCAT LEFT AND RIGHT COCKPIT DOOR HOLD OPEN STR...
    [Due: 27:47HH]
HH 25 - 1 task(s):
WCR0180PTA/1 - INSPECTION OF THE AIRFRAME TO TAILPLANE ATTACHMEN...
    [Due: 25:00HH]
HH 2500 - 1 task(s):
WC/OHL/673000101 - MAIN ROTOR ACTUATORS - RECONDITION
    [Due: 66:07HH]
HH 200 - 1 task(s):
WCR0173/1 - LAG PLANE DAMPER TRUNNION ASSEMBLY DISPLACEMENT
    [Due: 61:15HH]
DD 28 - 1 task(s):
WC/STORAGE/START - START STORAGE MAINTENANCE SCHEDULE
    [Due: 02/07/2026]
DD 365 - 1 task(s):
WC/MAR - MAR REFORECAST ON RECIEPT OF SIGNED MF710
    [Due: 10/07/2026]
DD 0 - 3 task(s):
WC/LLC/335100001 - COCKPIT EMERGENCY EGRESS LIGHTS PSU BATTERY
    [Due: 14/07/2026]
WC/LLC/335200003 - LEFT CABIN EMERGENCY EGRESS LIGHTS PSU BATTERY
    [Due: 14/07/2026]
WC/LLC/335200004 - RIGHT CABIN EMERGENCY EGRESS LIGHTS PSU BATTERY
    [Due: 14/07/2026]
DD 90 - 2 task(s):
WCR0152PTD - MANAGEMENT OF I-BEAM/S406 FRAME CORROSION
    [Due: 04/08/2026]
WCR0201PTA - FUSELAGE FAIRINGS 492AL, 492DL AND 492EL - FASTEN...
    [Due: 11/08/2026]
DD 182 - 4 task(s):
WC/OHL/243300002 - AUXILIARY BATTERY OVERHAUL LIFE
    [Due: 10/08/2026]
WC/OHL/243300001 - MAIN DC BATTERY OVERHAUL LIFE
    [Due: 17/08/2026]
WC/LLC/435100001/2/3 - NO1, NO2 , NO3 KY100 MTU BATTERIES
    [Due: 19/08/2026]
WC/OHL/504400101 - SACRU BAY MAINTENANCE
    [Due: 12/09/2026]
DD 4368 - 1 task(s):
WC/LLC/252100001 - TROOP SEAT HARNESSES
    [Due: 07/09/2026]</t>
        </r>
      </text>
    </comment>
    <comment ref="D6" authorId="0" shapeId="0" xr:uid="{F3929011-3483-4A3D-AD21-DB1A650A2732}">
      <text>
        <r>
          <rPr>
            <sz val="9"/>
            <color indexed="81"/>
            <rFont val="Arial"/>
            <family val="2"/>
          </rPr>
          <t>HH 25 - 3 task(s):
WC/PMP/7100006 - TEST FLIGHT - PPI CHECK
    [Due: 11:31HH]
    [PULLED 0%]
WC/SRA/1800001 - Assess MPGS Small Rotor Adjustments from HUMS RTB...
    [Due: 6:15HH]
    [PULLED 0%]
WC/PMP/7100006 - TEST FLIGHT - PPI CHECK
    [Due: 11:31HH]
    [PULLED 0%]
HH 150 - 4 task(s):
WC/PMP/5210007 - CABIN DOOR WINDOWS - JETTISON CHECK
    [Due: 8:03HH]
    [PULLED 0%]
WC/PMP/5210008 - DONOTUSE - CANCELLED - CABIN DOOR LATCH - FUNCTIO...
    [Due: 8:03HH]
    [PULLED 0%]
WC/PMP/6420002 - TAIL ROTOR HUB - EXAMINE
    [Due: 8:03HH]
    [PULLED 0%]
WC/PMP/6322001 - DO A CHECK OF THE MRGB NO2 ACCESSORY FREEWHEEL
    [Due: 8:03HH]
    [PULLED 0%]
HH 600 - 1 task(s):
WC/PMP/7510001 - ENGINE AIR - TORQUE CHECK (PRE-MOD W1026/L2884 ON...
    [Due: 10:33HH]
    [PULLED 0%]
DD 182 - 4 task(s):
WC/PMP/4545005 - DAPU BEACON - FUNCTION TEST OF THE ULB BATTERY
    [Due: 10/07/2026]
WC/PMP/6510003/1 - TRDS DRIVE FLANGE, SHAFTS, FLEX COUPLING - EXAMINE
    [Due: 10/07/2026]
WC/PMP/6521005/1 - IGB SURFACE PROTECTION - INTENSIVE VISUAL EXAMINA...
    [Due: 10/07/2026]
WC/PMP/5210005/2 - COCKPIT DOORS - JETTISON CHECK
    [Due: 11/08/2026]
    [PULLED 12%]
DD 30 - 3 task(s):
DATA-INT/STRUCTURE - GOLDESP STRUCTURE REPORT (WAS QA6)
    [Due: 17/07/2026]
WC/PMP/4622001 - DO THE AMS "ALERT MASK" CHECK
    [Due: 17/07/2026]
WCCHOP3 - CLEANING AND HUSBANDRY OP 3
    [Due: 17/07/2026]
DD 364 - 15 task(s):
WC/PMP/2624002 - HAND FIRE EXTINGUISHER - EXAMINE
    [Due: 21/07/2026]
WC/PMP/1222015/1 - ZONAL INSPECTION - OPERATION 15
    [Due: 21/07/2026]
WC/PMP/2161001/1 - HEATING PIPE (PRE-MOD W1015) - INTENSIVE VISUAL E...
    [Due: 21/07/2026]
WC/PMP/6310001/1 - MRD GIMBAL ELASTOMERIC BEARINGS - EXAMINE
    [Due: 21/07/2026]
WC/PMP/6320009/1 - ROTOR BRAKE - EXAMINE
    [Due: 21/07/2026]
WC/PMP/6710003/1 - COLLECTIVE CONTROLS - DESIGN DATA/TOLERANCE CX
    [Due: 21/07/2026]
WC/PMP/6720003/1 - TAIL ROTOR FLYING CONTROLS, YAW CONTROL ROD 8 EXA...
    [Due: 21/
... [comment truncated]</t>
        </r>
      </text>
    </comment>
    <comment ref="E6" authorId="0" shapeId="0" xr:uid="{C8B157EB-84D9-4841-82F2-23CE09307A6D}">
      <text>
        <r>
          <rPr>
            <sz val="9"/>
            <color indexed="81"/>
            <rFont val="Arial"/>
            <family val="2"/>
          </rPr>
          <t>HH 70 - 1 task(s):
WC/MISC06 - Check torque of Engine air bleed duct post instal...
    [Due: 11:55HH]
HH 50 - 1 task(s):
WC/MISC03 - POST INSTALLATION OF THE ROTOR BRAKE DISC
    [Due: 4:49HH]
HH 25 - 1 task(s):
WCR0180PTA/1 - INSPECTION OF THE AIRFRAME TO TAILPLANE ATTACHMEN...
    [Due: 6:15HH]
HH 12.5 - 1 task(s):
WCR0183PTB/1 - MAIN ROTOR GEARBOX - ENHANCED CONDITION INDICATOR...
    [Due: 8:51HH]
DD 28 - 1 task(s):
WC/STORAGE/START - START STORAGE MAINTENANCE SCHEDULE
    [Due: 27/07/2026]
DD 30 - 1 task(s):
WCAHECAMO26008 - INSPECTION FOR CORRECT LOCKING OF COLLECTIVE 6 CO...
    [Due: 30/07/2026]</t>
        </r>
      </text>
    </comment>
    <comment ref="G6" authorId="0" shapeId="0" xr:uid="{A7D1FA4C-7836-4EC1-BE7E-A80833134380}">
      <text>
        <r>
          <rPr>
            <sz val="9"/>
            <color indexed="81"/>
            <rFont val="Arial"/>
            <family val="2"/>
          </rPr>
          <t>HH 100 - 18 task(s):
WC/PMP/7200003 - ENGINE COMPRESSOR WASH
    [Due: 52:45HH]
    [EXT 5%]
WC/PMP/2810001 - FUEL SYSTEM - WATER/SEDIMENT CHECK
    [Due: 54:49HH]
    [EXT 5%]
WC/PMP/2910010 - NO1 HYDRAULIC SYSTEM
    [Due: 54:49HH]
    [EXT 5%]
WC/PMP/3040004 - WINDSCREEN WIPER SYSTEM - OPERATION TESTS
    [Due: 54:49HH]
    [EXT 5%]
WC/PMP/4300003 - CONFORMAL ANTENNA-CHECK TQ LOAD
    [Due: 54:49HH]
    [EXT 5%]
WC/PMP/5328003 - CABIN DOOR RAILS - EXAMINE
    [Due: 54:49HH]
    [EXT 5%]
WC/PMP/5340004 - ENGINE AIR INTAKE FAIRINGS - EXAMINE
    [Due: 54:49HH]
    [EXT 5%]
WC/PMP/5340008 - SCORCH GUARDS AND IRSF DUCTS
    [Due: 54:49HH]
    [EXT 5%]
WC/PMP/6410002 - TAIL ROTOR BLADES - EXAMINE
    [Due: 54:49HH]
    [EXT 5%]
WC/PMP/6410002 - TAIL ROTOR BLADES - EXAMINE
    [Due: 54:49HH]
    [EXT 5%]
WC/PMP/6410002 - TAIL ROTOR BLADES - EXAMINE
    [Due: 54:49HH]
    [EXT 5%]
WC/PMP/6211001 - LPD INTENSIVE VISUAL EXAMINATION
    [Due: 54:49HH]
    [EXT 5%]
WC/PMP/7200003 - ENGINE COMPRESSOR WASH
    [Due: 52:45HH]
    [EXT 5%]
WC/PMP/6211001 - LPD INTENSIVE VISUAL EXAMINATION
    [Due: 54:49HH]
    [EXT 5%]
WC/PMP/6211001 - LPD INTENSIVE VISUAL EXAMINATION
    [Due: 54:49HH]
    [EXT 5%]
WC/PMP/6410002 - TAIL ROTOR BLADES - EXAMINE
    [Due: 54:49HH]
    [EXT 5%]
WC/PMP/6220007 - MRH PITCH CTRL RODS - DIMENSIONS CHECK
    [Due: 54:49HH]
    [EXT 5%]
WC/PMP/6211001 - LPD INTENSIVE VISUAL EXAMINATION
    [Due: 54:51HH]
    [EXT 5%]
DD 91 - 1 task(s):
WC/PMP/3040004/1 - WINDSCREEN WIPER SYSTEM - OPERATION TESTS
    [Due: 11/08/2026]
    [EXT 8%]</t>
        </r>
      </text>
    </comment>
    <comment ref="H6" authorId="0" shapeId="0" xr:uid="{7D729094-DCED-42BF-9FB4-D268F87608CF}">
      <text>
        <r>
          <rPr>
            <sz val="9"/>
            <color indexed="81"/>
            <rFont val="Arial"/>
            <family val="2"/>
          </rPr>
          <t>E1 300 - 1 task(s):
WC/OHL/DDE - ENGINE FUEL NOZZLE ASSEMBLIES
    [Due: 88:51E1]
E1 173.92 - 1 task(s):
WCR0196PTB - ENGINE TURBINE  STANDARDISED MANAGEMENT OF COMBUS...
    [Due: 81:31E1]
HH 200 - 3 task(s):
WCR0157/2 - FUSELAGE - PERIODIC INSPECTION OF THE BASIC AIRFR...
    [Due: 58:03HH]
WCR0173/1 - LAG PLANE DAMPER TRUNNION ASSEMBLY DISPLACEMENT
    [Due: 58:03HH]
WCR0173 - LAG PLANE DAMPER TRUNNION ASSEMBLY DISPLACEMENT
    [Due: 58:03HH]
HH 25 - 1 task(s):
WCR0180PTA/1 - INSPECTION OF THE AIRFRAME TO TAILPLANE ATTACHMEN...
    [Due: 6:15HH]
HH 50 - 2 task(s):
WCR0197PTB - INSPECTION OF PORT AND STBD 1815F CONTROL FRAME S...
    [Due: 19:22HH]
WC/OHL/945200101 - MOUNTING BUFFER BAY MAINTENANCE
    [Due: 44:35HH]
HH 100 - 2 task(s):
WCR0007/1 - KY100 MTU 1,2 AND 3 MOUNTING TRAY CRACKING
    [Due: 54:49HH]
WCR0050/2 - WILDCAT LEFT AND RIGHT COCKPIT DOOR HOLD OPEN STR...
    [Due: 54:49HH]
HH 12.5 - 1 task(s):
WCR0183PTB/1 - MAIN ROTOR GEARBOX - ENHANCED CONDITION INDICATOR...
    [Due: 8:51HH]
DD 365 - 2 task(s):
WCR0152PTE - MANAGEMENT OF I-BEAM/S406 FRAME CORROSION
    [Due: 22/07/2026]
WC/MAR - MAR REFORECAST ON RECIEPT OF SIGNED MF710
    [Due: 12/10/2026]
DD 0 - 3 task(s):
WC/LLC/344000001 - IGI BATTERY
    [Due: 23/07/2026]
WC/LLC/335200004 - RIGHT CABIN EMERGENCY EGRESS LIGHTS PSU BATTERY
    [Due: 12/08/2026]
WC/LLC/335100001 - COCKPIT EMERGENCY EGRESS LIGHTS PSU BATTERY
    [Due: 28/08/2026]
DD 28 - 1 task(s):
WC/STORAGE/START - START STORAGE MAINTENANCE SCHEDULE
    [Due: 27/07/2026]
DD 182 - 2 task(s):
WC/OHL/243300002 - AUXILIARY BATTERY OVERHAUL LIFE
    [Due: 10/08/2026]
WC/OHL/243300001 - MAIN DC BATTERY OVERHAUL LIFE
    [Due: 20/08/2026]
DD 90 - 1 task(s):
WCR0201PTA - FUSELAGE FAIRINGS 492AL, 492DL AND 492EL - FASTEN...
    [Due: 11/08/2026]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Flynn, Christopher Sgt (1AAC-WKSP-659SMG-SenSupAv02)</author>
  </authors>
  <commentList>
    <comment ref="L5" authorId="0" shapeId="0" xr:uid="{849777F7-7050-4439-A32B-EDE2807CC8B2}">
      <text>
        <r>
          <rPr>
            <sz val="9"/>
            <color indexed="81"/>
            <rFont val="Tahoma"/>
            <family val="2"/>
          </rPr>
          <t>3 task(s):
1. WC/PMP/7200008 - ENGINE INLET FLANGE WELD AREA - EXAMINE
    [Due in 97:37E1]
    [PULLED 7% to Maint]
2. WC/PMP/7200009 - ENGINE IPS BLOWER BRACKETS - EXAMINE
    [Due in 97:37E1]
    [PULLED 7% to Maint]
3. WC/PMP/7200012 - IPS QUILL SHAFT DETAILED EXAMINATION
    [Due in 97:37E1]
    [PULLED 7% to Maint]</t>
        </r>
      </text>
    </comment>
    <comment ref="L6" authorId="0" shapeId="0" xr:uid="{443A7567-AB15-4B00-B2D3-F70F35F83D90}">
      <text>
        <r>
          <rPr>
            <sz val="9"/>
            <color indexed="81"/>
            <rFont val="Tahoma"/>
            <family val="2"/>
          </rPr>
          <t>1 task(s):
1. WC/PMP/7310001 - ENGINE - REPLACE FUEL FILTER
    [Due in 101:40E1]
    [PULLED 9% to Maint]</t>
        </r>
      </text>
    </comment>
    <comment ref="L7" authorId="0" shapeId="0" xr:uid="{1D8E21F8-C576-453A-8B23-6A3D0646EAC9}">
      <text>
        <r>
          <rPr>
            <sz val="9"/>
            <color indexed="81"/>
            <rFont val="Tahoma"/>
            <family val="2"/>
          </rPr>
          <t>1 task(s):
1. WC/PMP/7200005/DDE - ENGINE DDE COMBUSTION CHAMBER BORESCOPE INSPECTION
    [Due in 88:31E1]
    [PULLED 8% to Maint]</t>
        </r>
      </text>
    </comment>
    <comment ref="O8" authorId="0" shapeId="0" xr:uid="{91861EB6-315A-4929-921E-0530426749A1}">
      <text>
        <r>
          <rPr>
            <sz val="9"/>
            <color indexed="81"/>
            <rFont val="Tahoma"/>
            <family val="2"/>
          </rPr>
          <t>1 task(s):
1. *** WCR0196PTB - ENGINE TURBINE  STANDARDISED MANAGEMENT OF COMBUS... ***
    [Due in 88:31E1]</t>
        </r>
      </text>
    </comment>
    <comment ref="N9" authorId="0" shapeId="0" xr:uid="{166DB36A-9B6F-44A1-9066-8F31F3653FE8}">
      <text>
        <r>
          <rPr>
            <sz val="9"/>
            <color indexed="81"/>
            <rFont val="Tahoma"/>
            <family val="2"/>
          </rPr>
          <t>1 task(s):
1. *** WC/OHL/673000101 - MAIN ROTOR ACTUATORS - RECONDITION ***
    [Due in 66:07HH]</t>
        </r>
      </text>
    </comment>
    <comment ref="G10" authorId="0" shapeId="0" xr:uid="{756A18E6-0361-4A11-8A30-3FD662B8EF05}">
      <text>
        <r>
          <rPr>
            <sz val="9"/>
            <color indexed="81"/>
            <rFont val="Tahoma"/>
            <family val="2"/>
          </rPr>
          <t>1 task(s):
1. WC/PMP/6210005 - MRB UPPER AND LOWER SURFACES - EXAMINE
    [Due in 48:28HH]
    [PULLED 3% to Maint]</t>
        </r>
      </text>
    </comment>
    <comment ref="L11" authorId="0" shapeId="0" xr:uid="{57D22092-8621-4FC5-B52F-72772278E16B}">
      <text>
        <r>
          <rPr>
            <sz val="9"/>
            <color indexed="81"/>
            <rFont val="Tahoma"/>
            <family val="2"/>
          </rPr>
          <t>1 task(s):
1. WC/PMP/7860001 - PORT/STBD ECU INFRA RED SUPP EXHAUST DUCT ASSY
    [Due in 82:57HH]
    [PULLED 6% to Maint]</t>
        </r>
      </text>
    </comment>
    <comment ref="E12" authorId="0" shapeId="0" xr:uid="{982F4A37-3B57-46CE-8D9E-C734B37A5356}">
      <text>
        <r>
          <rPr>
            <sz val="9"/>
            <color indexed="81"/>
            <rFont val="Tahoma"/>
            <family val="2"/>
          </rPr>
          <t>4 task(s):
1. WC/PMP/6220014 - PCR CERAMIC BEARING - IVE
    [Due in 16:04HH]
2. WC/PMP/6220014 - PCR CERAMIC BEARING - IVE
    [Due in 16:04HH]
3. WC/PMP/6220014 - PCR CERAMIC BEARING - IVE
    [Due in 16:04HH]
4. WC/PMP/6220014 - PCR CERAMIC BEARING - IVE
    [Due in 16:04HH]</t>
        </r>
      </text>
    </comment>
    <comment ref="N12" authorId="0" shapeId="0" xr:uid="{F9B6FF43-3B24-4C0D-AF10-7C568CA39327}">
      <text>
        <r>
          <rPr>
            <sz val="9"/>
            <color indexed="81"/>
            <rFont val="Tahoma"/>
            <family val="2"/>
          </rPr>
          <t>1 task(s):
1. *** WCR0173/1 - LAG PLANE DAMPER TRUNNION ASSEMBLY DISPLACEMENT ***
    [Due in 61:15HH]</t>
        </r>
      </text>
    </comment>
    <comment ref="K13" authorId="0" shapeId="0" xr:uid="{AA8C8D46-BDDA-4A96-92C2-ADEEFCCCE7DC}">
      <text>
        <r>
          <rPr>
            <sz val="9"/>
            <color indexed="81"/>
            <rFont val="Tahoma"/>
            <family val="2"/>
          </rPr>
          <t>1 task(s):
1. *** WCR0185PTA - TAILBOOM AND TAIL FIN STRUCTURAL FRAME CRACKING ***
    [Due in 53:43HH]</t>
        </r>
      </text>
    </comment>
    <comment ref="E14" authorId="0" shapeId="0" xr:uid="{C0A55209-4BDB-4CD4-B37C-07D4331063F7}">
      <text>
        <r>
          <rPr>
            <sz val="9"/>
            <color indexed="81"/>
            <rFont val="Tahoma"/>
            <family val="2"/>
          </rPr>
          <t>1 task(s):
1. WC/PMP/6410002 - TAIL ROTOR BLADES - EXAMINE
    [Due in 17:44HH]</t>
        </r>
      </text>
    </comment>
    <comment ref="G14" authorId="0" shapeId="0" xr:uid="{4490D7CF-6E2F-4D75-B414-B82367327737}">
      <text>
        <r>
          <rPr>
            <sz val="9"/>
            <color indexed="81"/>
            <rFont val="Tahoma"/>
            <family val="2"/>
          </rPr>
          <t>4 task(s):
1. WC/PMP/1810001 - BASIC A/C - VIBRATION MAINTENANCE CHECK
    [Due in 26:46HH]
    [EXT. REQ. FOR 20/07/2026; 5% to Maint]
2. *** WCR0050/2 - WILDCAT LEFT AND RIGHT COCKPIT DOOR HOLD OPEN STR... ***
    [Due in 27:47HH]
3. WC/PMP/7200003 - ENGINE COMPRESSOR WASH
    [Due in 38:59HH]
    [PULLED TO ALIGN]
    [PULLED 0% to Maint]
4. WC/PMP/7200003 - ENGINE COMPRESSOR WASH
    [Due in 38:59HH]
    [PULLED TO ALIGN]
    [PULLED 0% to Maint]</t>
        </r>
      </text>
    </comment>
    <comment ref="K14" authorId="0" shapeId="0" xr:uid="{841C8537-AC2C-4C96-8D90-CA841491A12D}">
      <text>
        <r>
          <rPr>
            <sz val="9"/>
            <color indexed="81"/>
            <rFont val="Tahoma"/>
            <family val="2"/>
          </rPr>
          <t>2 task(s):
1. WC/MISC17 - HUMS MDTD MAINTENANCE PARTITION DOWNLOAD/ERASE
    [Due in 52:46HH]
2. *** WCR0007/1 - KY100 MTU 1,2 AND 3 MOUNTING TRAY CRACKING ***
    [Due in 52:46HH]</t>
        </r>
      </text>
    </comment>
    <comment ref="L14" authorId="0" shapeId="0" xr:uid="{62640961-0CB2-49F5-91E8-6EC0D3C5BC0F}">
      <text>
        <r>
          <rPr>
            <sz val="9"/>
            <color indexed="81"/>
            <rFont val="Tahoma"/>
            <family val="2"/>
          </rPr>
          <t>16 task(s):
1. WC/PMP/2511021 - INTENSIVE VISUAL EXAMINATION CREW SEAT VLEA CABLE
    [Due in 52:46HH]
    [EXT. REQ. FOR 24/08/2026; 5% to Maint]
2. WC/PMP/2810001 - FUEL SYSTEM - WATER/SEDIMENT CHECK
    [Due in 52:46HH]
    [EXT. REQ. FOR 24/08/2026; 5% to Maint]
3. WC/PMP/2910010 - NO1 HYDRAULIC SYSTEM
    [Due in 52:46HH]
    [EXT. REQ. FOR 24/08/2026; 5% to Maint]
4. WC/PMP/3040004 - WINDSCREEN WIPER SYSTEM - OPERATION TESTS
    [Due in 56:57HH]
    [PULLED TO ALIGN]
    [PULLED 0% to Maint]
5. WC/PMP/4300003 - CONFORMAL ANTENNA-CHECK TQ LOAD
    [Due in 52:46HH]
    [EXT. REQ. FOR 24/08/2026; 5% to Maint]
6. WC/PMP/5328003 - CABIN DOOR RAILS - EXAMINE
    [Due in 52:46HH]
    [EXT. REQ. FOR 24/08/2026; 5% to Maint]
7. WC/PMP/5340004 - ENGINE AIR INTAKE FAIRINGS - EXAMINE
    [Due in 52:46HH]
    [EXT. REQ. FOR 24/08/2026; 5% to Maint]
8. WC/PMP/5340008 - SCORCH GUARDS AND IRSF DUCTS
    [Due in 52:46HH]
    [EXT. REQ. FOR 24/08/2026; 5% to Maint]
9. WC/PMP/6210004 - MRB ATTACHMENT PINS - LUBRICATE
    [Due in 56:57HH]
    [PULLED TO ALIGN]
    [PULLED 0% to Maint]
10. WC/PMP/6410002 - TAIL ROTOR BLADES - EXAMINE
    [Due in 52:46HH]
    [EXT. REQ. FOR 24/08/2026; 5% to Maint]
11. WC/PMP/6410002 - TAIL ROTOR BLADES - EXAMINE
    [Due in 52:46HH]
    [EXT. REQ. FOR 24/08/2026; 5% to Maint]
12. WC/PMP/6211001 - LPD INTENSIVE VISUAL EXAMINATION
    [Due in 55:44HH]
13. WC/PMP/6211001 - LPD INTENSIVE VISUAL EXAMINATION
    [Due in 55:44HH]
14. WC/PMP/6410002 - TAIL ROTOR BLADES - EXAMINE
    [Due in 52:46HH]
    [EXT. REQ. FOR 24/08/2026; 5% to Maint]
15. WC/PMP/6220007 - MRH PITCH CTRL RODS - DIMENSIONS CHECK
    [Due in 52:46HH]
    [EXT. REQ. FOR 24/08/2026; 5% to Maint]
16. WC/PMP/6211001 - LPD INTENSIVE VISUAL EXAMINATION
    [Due in 52:46HH]
    [EXT. REQ. FOR 24/08/2026; 5% to Maint]</t>
        </r>
      </text>
    </comment>
    <comment ref="E15" authorId="0" shapeId="0" xr:uid="{96E523BF-D7D1-4149-B10B-C4D00EDCF981}">
      <text>
        <r>
          <rPr>
            <sz val="9"/>
            <color indexed="81"/>
            <rFont val="Tahoma"/>
            <family val="2"/>
          </rPr>
          <t>1 task(s):
1. ADF-H - PT.3 ASSOCIATED - 1FL STRUCURAL SUPPORT BRACKET P...
    [Due in 19:49HH]</t>
        </r>
      </text>
    </comment>
    <comment ref="J15" authorId="0" shapeId="0" xr:uid="{612AC897-4F5D-47C1-AADD-0E03610F6B38}">
      <text>
        <r>
          <rPr>
            <sz val="9"/>
            <color indexed="81"/>
            <rFont val="Tahoma"/>
            <family val="2"/>
          </rPr>
          <t>6 task(s):
1. WC/PMP/2433004 - DC SYSTEM BATTERY
    [Due in 50:00HH]
2. *** WCR0197PTB - INSPECTION OF PORT AND STBD 1815F CONTROL FRAME S... ***
    [Due in 50:00HH]
3. WC/PMP/6320007 - MRGB MAG PLUG - EXAMINE
    [Due in 50:00HH]
4. WC/PMP/6320008 - MRGB OIL SYSTEM - SAMPLE
    [Due in 50:00HH]
5. WC/PMP/6521003 - IGB MAG PLUG - EXAMINE
    [Due in 50:00HH]
6. WC/PMP/6521004 - INTERMEDIATE GEARBOX - OIL SAMPLE
    [Due in 50:00HH]</t>
        </r>
      </text>
    </comment>
    <comment ref="L15" authorId="0" shapeId="0" xr:uid="{6D334164-D734-4DB0-8FC0-CBD220C04C06}">
      <text>
        <r>
          <rPr>
            <sz val="9"/>
            <color indexed="81"/>
            <rFont val="Tahoma"/>
            <family val="2"/>
          </rPr>
          <t>1 task(s):
1. ADF-H - PT.3 ASSOCIATED - 1FL STRUCURAL SUPPORT BRACKET P...
    [Due in 19:49HH]
    [PULLED 0% to Maint]</t>
        </r>
      </text>
    </comment>
    <comment ref="D16" authorId="0" shapeId="0" xr:uid="{FFB55CC0-B350-4700-847A-8BDF01808820}">
      <text>
        <r>
          <rPr>
            <sz val="9"/>
            <color indexed="81"/>
            <rFont val="Tahoma"/>
            <family val="2"/>
          </rPr>
          <t>5 task(s):
1. WC/TVM/1800001 - TRANSMISSION VIBRATION MONITORING
    [Due in 10:21HH]
2. WC/PMP/7100006 - TEST FLIGHT - PPI CHECK
    [Due in 10:49HH]
3. WC/PMP/7100006 - TEST FLIGHT - PPI CHECK
    [Due in 10:49HH]
4. WC/PMP/6522003/1 - TAIL ROTOR GEARBOX MAG PLUG - EXAMINE
    [Due in 10:49HH]
5. WC/PMP/6522004/1 - TAIL ROTOR GEARBOX - OIL SAMPLE
    [Due in 10:49HH]</t>
        </r>
      </text>
    </comment>
    <comment ref="E16" authorId="0" shapeId="0" xr:uid="{C64144D9-CD02-4ECC-A552-0D292CE49D64}">
      <text>
        <r>
          <rPr>
            <sz val="9"/>
            <color indexed="81"/>
            <rFont val="Tahoma"/>
            <family val="2"/>
          </rPr>
          <t>3 task(s):
1. WC/SRA/1800001 - Assess MPGS Small Rotor Adjustments from HUMS RTB...
    [Due in 20:37HH]
2. WC/PMP/7100009 - PPI CHECK ANALYSIS
    [Due in 15:57HH]
3. WC/PMP/7100009 - PPI CHECK ANALYSIS
    [Due in 15:57HH]</t>
        </r>
      </text>
    </comment>
    <comment ref="F16" authorId="0" shapeId="0" xr:uid="{FCD52D96-C235-4C43-910F-00AABA256AB8}">
      <text>
        <r>
          <rPr>
            <sz val="9"/>
            <color indexed="81"/>
            <rFont val="Tahoma"/>
            <family val="2"/>
          </rPr>
          <t>2 task(s):
1. WCAHECAMO26008 - INSPECTION FOR CORRECT LOCKING OF COLLECTIVE 6 CO...
    [Due in 25:00HH]
2. *** WCR0180PTA/1 - INSPECTION OF THE AIRFRAME TO TAILPLANE ATTACHMEN... ***
    [Due in 25:00HH]</t>
        </r>
      </text>
    </comment>
    <comment ref="G16" authorId="0" shapeId="0" xr:uid="{61557B88-CAD2-49BD-A419-9AA7F94E6C19}">
      <text>
        <r>
          <rPr>
            <sz val="9"/>
            <color indexed="81"/>
            <rFont val="Tahoma"/>
            <family val="2"/>
          </rPr>
          <t>7 task(s):
1. WC/TVM/1800001 - TRANSMISSION VIBRATION MONITORING
    [Due in 10:21HH]
    [PULLED 0% to Maint]
2. WC/PMP/7100006 - TEST FLIGHT - PPI CHECK
    [Due in 10:49HH]
    [PULLED 0% to Maint]
3. WC/PMP/7100009 - PPI CHECK ANALYSIS
    [Due in 15:57HH]
    [PULLED 0% to Maint]
4. WC/PMP/7100006 - TEST FLIGHT - PPI CHECK
    [Due in 10:49HH]
    [PULLED 0% to Maint]
5. WC/PMP/7100009 - PPI CHECK ANALYSIS
    [Due in 15:57HH]
    [PULLED 0% to Maint]
6. WC/PMP/6522003/1 - TAIL ROTOR GEARBOX MAG PLUG - EXAMINE
    [Due in 10:49HH]
    [PULLED 0% to Maint]
7. WC/PMP/6522004/1 - TAIL ROTOR GEARBOX - OIL SAMPLE
    [Due in 10:49HH]
    [PULLED 0% to Maint]</t>
        </r>
      </text>
    </comment>
    <comment ref="J16" authorId="0" shapeId="0" xr:uid="{3AB1C087-50F5-4494-8D17-018159C9CF82}">
      <text>
        <r>
          <rPr>
            <sz val="9"/>
            <color indexed="81"/>
            <rFont val="Tahoma"/>
            <family val="2"/>
          </rPr>
          <t>3 task(s):
1. WC/SRA/1800001 - Assess MPGS Small Rotor Adjustments from HUMS RTB...
    [Due in 20:37HH]
2. WCAHECAMO26008 - INSPECTION FOR CORRECT LOCKING OF COLLECTIVE 6 CO...
    [Due in 25:00HH]
3. *** WCR0180PTA/1 - INSPECTION OF THE AIRFRAME TO TAILPLANE ATTACHMEN... ***
    [Due in 25:00HH]</t>
        </r>
      </text>
    </comment>
    <comment ref="L16" authorId="0" shapeId="0" xr:uid="{1787DC60-6F92-482D-8D76-92F36BFB7965}">
      <text>
        <r>
          <rPr>
            <sz val="9"/>
            <color indexed="81"/>
            <rFont val="Tahoma"/>
            <family val="2"/>
          </rPr>
          <t>7 task(s):
1. WC/TVM/1800001 - TRANSMISSION VIBRATION MONITORING
    [Due in 10:21HH]
    [PULLED 0% to Maint]
2. WC/PMP/7100006 - TEST FLIGHT - PPI CHECK
    [Due in 10:49HH]
    [PULLED 0% to Maint]
3. WC/PMP/7100009 - PPI CHECK ANALYSIS
    [Due in 15:57HH]
    [PULLED 0% to Maint]
4. WC/PMP/7100006 - TEST FLIGHT - PPI CHECK
    [Due in 10:49HH]
    [PULLED 0% to Maint]
5. WC/PMP/7100009 - PPI CHECK ANALYSIS
    [Due in 15:57HH]
    [PULLED 0% to Maint]
6. WC/PMP/6522003/1 - TAIL ROTOR GEARBOX MAG PLUG - EXAMINE
    [Due in 10:49HH]
    [PULLED 0% to Maint]
7. WC/PMP/6522004/1 - TAIL ROTOR GEARBOX - OIL SAMPLE
    [Due in 10:49HH]
    [PULLED 0% to Maint]</t>
        </r>
      </text>
    </comment>
    <comment ref="O16" authorId="0" shapeId="0" xr:uid="{342F98D2-D06A-4265-8467-075BD591400F}">
      <text>
        <r>
          <rPr>
            <sz val="9"/>
            <color indexed="81"/>
            <rFont val="Tahoma"/>
            <family val="2"/>
          </rPr>
          <t>3 task(s):
1. WC/SRA/1800001 - Assess MPGS Small Rotor Adjustments from HUMS RTB...
    [Due in 20:37HH]
2. WCAHECAMO26008 - INSPECTION FOR CORRECT LOCKING OF COLLECTIVE 6 CO...
    [Due in 25:00HH]
3. *** WCR0180PTA/1 - INSPECTION OF THE AIRFRAME TO TAILPLANE ATTACHMEN... ***
    [Due in 25:00HH]</t>
        </r>
      </text>
    </comment>
    <comment ref="L17" authorId="0" shapeId="0" xr:uid="{F0661EE2-5B42-44E8-A4CB-3022C44CD390}">
      <text>
        <r>
          <rPr>
            <sz val="9"/>
            <color indexed="81"/>
            <rFont val="Tahoma"/>
            <family val="2"/>
          </rPr>
          <t>1 task(s):
1. *** WC/LLC/252100001 - TROOP SEAT HARNESSES ***
    [Due 07/09/2026]</t>
        </r>
      </text>
    </comment>
    <comment ref="L18" authorId="0" shapeId="0" xr:uid="{88FDF4B1-07B7-495C-B2E3-F6D7F625BED9}">
      <text>
        <r>
          <rPr>
            <sz val="9"/>
            <color indexed="81"/>
            <rFont val="Tahoma"/>
            <family val="2"/>
          </rPr>
          <t>1 task(s):
1. WC/PMP/1222021/1 - ZONAL INSPECTION - OPERATION 6
    [Due 30/09/2026]
    [PULLED 1% to Maint]</t>
        </r>
      </text>
    </comment>
    <comment ref="G19" authorId="0" shapeId="0" xr:uid="{D2688825-4A16-49D5-B60A-6F3388D5BB0C}">
      <text>
        <r>
          <rPr>
            <sz val="9"/>
            <color indexed="81"/>
            <rFont val="Tahoma"/>
            <family val="2"/>
          </rPr>
          <t>4 task(s):
1. WC/PMP/6521006 - IGB EXTERNAL SURFACES - EXAMINE
    [Due 23/07/2026]
    [EXT. REQ. FOR 20/07/2026; 1% to Maint]
2. WC/PMP/2400003 - DC GEN BUS TIE CTRL SYS - FUNTION TEST
    [Due 22/09/2026]
    [PULLED TO ALIGN]
    [PULLED 2% to Maint]
3. WC/PMP/2461001 - ELEC POWER - OP TEST-ESSENTIAL SERVICES BUS BARS
    [Due 22/09/2026]
    [PULLED TO ALIGN]
    [PULLED 2% to Maint]
4. WC/PMP/9562001 - SURVIVABILITY - FUNCTION TEST
    [Due 24/09/2026]
    [PULLED TO ALIGN]
    [PULLED 2% to Maint]</t>
        </r>
      </text>
    </comment>
    <comment ref="L20" authorId="0" shapeId="0" xr:uid="{0A389325-6207-46FF-B28D-EB6FA7A54048}">
      <text>
        <r>
          <rPr>
            <sz val="9"/>
            <color indexed="81"/>
            <rFont val="Tahoma"/>
            <family val="2"/>
          </rPr>
          <t>1 task(s):
1. WC/PMP/6220009/1 - MRH HUB AND SLEEVE ASSEMBLY - EXAMINE
    [Due 23/09/2026]
    [PULLED 3% to Maint]</t>
        </r>
      </text>
    </comment>
    <comment ref="D21" authorId="0" shapeId="0" xr:uid="{E52A7D15-50EF-49F1-8111-7E042EB4FB69}">
      <text>
        <r>
          <rPr>
            <sz val="9"/>
            <color indexed="81"/>
            <rFont val="Tahoma"/>
            <family val="2"/>
          </rPr>
          <t>1 task(s):
1. *** WC/MAR - MAR REFORECAST ON RECIEPT OF SIGNED MF710 ***
    [Due 10/07/2026]</t>
        </r>
      </text>
    </comment>
    <comment ref="L21" authorId="0" shapeId="0" xr:uid="{544E41F1-C3D3-420F-9635-5C17F8B46B66}">
      <text>
        <r>
          <rPr>
            <sz val="9"/>
            <color indexed="81"/>
            <rFont val="Tahoma"/>
            <family val="2"/>
          </rPr>
          <t>1 task(s):
1. WC/PMP/6730002/1 - TRA - SPECIAL DETAILED EXAMINATION
    [Due 24/09/2026]
    [PULLED 4% to Maint]</t>
        </r>
      </text>
    </comment>
    <comment ref="G22" authorId="0" shapeId="0" xr:uid="{B2D1743A-FF46-4080-861C-D8EA4C5E9076}">
      <text>
        <r>
          <rPr>
            <sz val="9"/>
            <color indexed="81"/>
            <rFont val="Tahoma"/>
            <family val="2"/>
          </rPr>
          <t>2 task(s):
1. WC/PMP/2511002/1 - CREW SEATS - INTENSIVE VISUAL EXAMINATION
    [Due 22/07/2026]
    [EXT. REQ. FOR 20/07/2026; 2% to Maint]
2. WC/PMP/2511006/1 - CREW SEAT CUSHIONS - GENERAL VISUAL EXAMINATION
    [Due 22/07/2026]
    [EXT. REQ. FOR 20/07/2026; 2% to Maint]</t>
        </r>
      </text>
    </comment>
    <comment ref="L22" authorId="0" shapeId="0" xr:uid="{7D258703-000A-40BB-9A45-EFF65B19E6EA}">
      <text>
        <r>
          <rPr>
            <sz val="9"/>
            <color indexed="81"/>
            <rFont val="Tahoma"/>
            <family val="2"/>
          </rPr>
          <t>18 task(s):
1. WC/PMP/6710003/1 - COLLECTIVE CONTROLS - DESIGN DATA/TOLERANCE CX
    [Due 09/09/2026]
2. WC/PMP/6720003/1 - TAIL ROTOR FLYING CONTROLS, YAW CONTROL ROD 8 EXA...
    [Due 09/09/2026]
3. WC/PMP/1222015/1 - ZONAL INSPECTION - OPERATION 15
    [Due 23/09/2026]
    [PULLED 4% to Maint]
4. WC/PMP/2161001/1 - HEATING PIPE (PRE-MOD W1015) - INTENSIVE VISUAL E...
    [Due 23/09/2026]
    [PULLED 4% to Maint]
5. WC/PMP/2400002 - BONDING/EARTH POINT-MRB-TRB FUNCTION TESTS
    [Due 23/09/2026]
    [PULLED 4% to Maint]
6. WC/PMP/3411001 - AIR DATA UNIT - FUNCTION TEST
    [Due 23/09/2026]
    [PULLED 4% to Maint]
7. WC/PMP/3450001 - GPS/VOR/ILS - FUNCTION TEST
    [Due 23/09/2026]
    [PULLED 4% to Maint]
8. WC/PMP/5043009 - RESCUE HOIST - FUNCTION TEST "DC GEN FAIL" CIRCUIT
    [Due 23/09/2026]
    [PULLED 4% to Maint]
9. WC/PMP/5240002/1 - ENGINE SERVICING PLATFORM LATCHES, HINGES AND SUP...
    [Due 23/09/2026]
    [PULLED 4% to Maint]
10. WC/PMP/5240003/1 - ENGINE SERVICING PLATFORM FIREWALL SEALS - EXAMINE
    [Due 23/09/2026]
    [PULLED 4% to Maint]
11. WC/PMP/6310001/1 - MRD GIMBAL ELASTOMERIC BEARINGS - EXAMINE
    [Due 23/09/2026]
    [PULLED 4% to Maint]
12. WC/PMP/7920003 - DRAIN AND REPLACE THE ENGINE OIL
    [Due 23/09/2026]
    [PULLED 4% to Maint]
13. WC/PMP/6320011/1 - MAIN ROTOR GEARBOX - EXAMINE
    [Due 23/09/2026]
    [PULLED 4% to Maint]
14. WC/PMP/7920003 - DRAIN AND REPLACE THE ENGINE OIL
    [Due 23/09/2026]
    [PULLED 4% to Maint]
15. WC/PMP/9340002 - IFF - INTEGRITY CHECK
    [Due 23/09/2026]
    [PULLED 4% to Maint]
16. WC/PMP/3440001 - INTERNAL NAV SYS - AHRS AND STANDBY COMPASS SWING
    [Due 28/09/2026]
    [PULLED 6% to Maint]
17. WC/PMP/4545006 - COCKPIT VOICE FLIGHT RECORDER - DOWNLOAD THE INFO
    [Due 28/09/2026]
    [PULLED 6% to Maint]
18. WC/PMP/6320009/1 - ROTOR BRAKE - EXAMINE
    [Due 28/09/2026]
    [PULLED 6% to Maint]</t>
        </r>
      </text>
    </comment>
    <comment ref="G23" authorId="0" shapeId="0" xr:uid="{49F79977-9FC0-4DB1-9EEC-0A2C357842DA}">
      <text>
        <r>
          <rPr>
            <sz val="9"/>
            <color indexed="81"/>
            <rFont val="Tahoma"/>
            <family val="2"/>
          </rPr>
          <t>1 task(s):
1. WC/PMP/5210005/2 - COCKPIT DOORS - JETTISON CHECK
    [Due 29/07/2026]</t>
        </r>
      </text>
    </comment>
    <comment ref="I23" authorId="0" shapeId="0" xr:uid="{3C77FFB8-3407-46B8-BB03-C3E2415213F2}">
      <text>
        <r>
          <rPr>
            <sz val="9"/>
            <color indexed="81"/>
            <rFont val="Tahoma"/>
            <family val="2"/>
          </rPr>
          <t>1 task(s):
1. *** WC/OHL/243300002 - AUXILIARY BATTERY OVERHAUL LIFE ***
    [Due 10/08/2026]</t>
        </r>
      </text>
    </comment>
    <comment ref="J23" authorId="0" shapeId="0" xr:uid="{94E1DA48-8174-4879-B740-F751393AAA23}">
      <text>
        <r>
          <rPr>
            <sz val="9"/>
            <color indexed="81"/>
            <rFont val="Tahoma"/>
            <family val="2"/>
          </rPr>
          <t>2 task(s):
1. *** WC/OHL/243300001 - MAIN DC BATTERY OVERHAUL LIFE ***
    [Due 17/08/2026]
2. *** WC/LLC/435100001/2/3 - NO1, NO2 , NO3 KY100 MTU BATTERIES ***
    [Due 19/08/2026]</t>
        </r>
      </text>
    </comment>
    <comment ref="L23" authorId="0" shapeId="0" xr:uid="{25BBA506-F348-4312-8183-37C61B4D2794}">
      <text>
        <r>
          <rPr>
            <sz val="9"/>
            <color indexed="81"/>
            <rFont val="Tahoma"/>
            <family val="2"/>
          </rPr>
          <t>5 task(s):
1. WC/PMP/4545005 - DAPU BEACON - FUNCTION TEST OF THE ULB BATTERY
    [Due 04/09/2026]
2. DATA-INT/MODF700C-AUDIT - MOD F700C AUDIT (WAS QA42)
    [Due 10/09/2026]
    [PULLED TO ALIGN]
3. WC/PMP/6510003/1 - TRDS DRIVE FLANGE, SHAFTS, FLEX COUPLING - EXAMINE
    [Due 10/09/2026]
    [PULLED TO ALIGN]
4. WC/PMP/6521005/1 - IGB SURFACE PROTECTION - INTENSIVE VISUAL EXAMINA...
    [Due 10/09/2026]
    [PULLED TO ALIGN]
----------------------------------------
1. *** WC/OHL/504400101 - SACRU BAY MAINTENANCE ***
    [Due 12/09/2026]</t>
        </r>
      </text>
    </comment>
    <comment ref="L24" authorId="0" shapeId="0" xr:uid="{75435552-3266-4937-901A-041F3A2C0B76}">
      <text>
        <r>
          <rPr>
            <sz val="9"/>
            <color indexed="81"/>
            <rFont val="Tahoma"/>
            <family val="2"/>
          </rPr>
          <t>2 task(s):
1. DATA-INT/QA - GOLDESP QA REPORT (WAS QA5)
    [Due 15/09/2026]
    [PULLED 4% to Maint]
2. DATA-INT/WEIGHT - GOLDESP WEIGHT AND BALANCE REPORT (WAS QA7)
    [Due 15/09/2026]
    [PULLED 4% to Maint]</t>
        </r>
      </text>
    </comment>
    <comment ref="G25" authorId="0" shapeId="0" xr:uid="{41BF3F5B-4ECE-431F-BDB4-7F7E3D5CFFCB}">
      <text>
        <r>
          <rPr>
            <sz val="9"/>
            <color indexed="81"/>
            <rFont val="Tahoma"/>
            <family val="2"/>
          </rPr>
          <t>2 task(s):
1. WC/PMP/3040004/1 - WINDSCREEN WIPER SYSTEM - OPERATION TESTS
    [Due 23/07/2026]
    [EXT. REQ. FOR 20/07/2026; 8% to Maint]
2. WC/PMP/6210004/1 - MRB ATTACHMENT PINS - LUBRICATE
    [Due 23/07/2026]
    [EXT. REQ. FOR 20/07/2026; 8% to Maint]</t>
        </r>
      </text>
    </comment>
    <comment ref="G26" authorId="0" shapeId="0" xr:uid="{C5C4C9F0-CC93-4164-954D-C3BD54CAF8B7}">
      <text>
        <r>
          <rPr>
            <sz val="9"/>
            <color indexed="81"/>
            <rFont val="Tahoma"/>
            <family val="2"/>
          </rPr>
          <t>4 task(s):
1. WC/PMP/4322001 - TRANS BATTERIES - ELECT POWER CHECK
    [Due 22/07/2026]
    [EXT. REQ. FOR 20/07/2026; 8% to Maint]
2. WC/PMP/7200004 - ENGINES - EXAMINE (EXTERNAL)
    [Due 22/07/2026]
    [EXT. REQ. FOR 20/07/2026; 8% to Maint]
3. WC/PMP/7200004 - ENGINES - EXAMINE (EXTERNAL)
    [Due 22/07/2026]
    [EXT. REQ. FOR 20/07/2026; 8% to Maint]
----------------------------------------
1. *** WCR0152PTD - MANAGEMENT OF I-BEAM/S406 FRAME CORROSION ***
    [Due 04/08/2026]</t>
        </r>
      </text>
    </comment>
    <comment ref="I26" authorId="0" shapeId="0" xr:uid="{E1A160FA-324A-42F2-B475-AF4A24C13F2F}">
      <text>
        <r>
          <rPr>
            <sz val="9"/>
            <color indexed="81"/>
            <rFont val="Tahoma"/>
            <family val="2"/>
          </rPr>
          <t>1 task(s):
1. *** WCR0201PTA - FUSELAGE FAIRINGS 492AL, 492DL AND 492EL - FASTEN... ***
    [Due 11/08/2026]</t>
        </r>
      </text>
    </comment>
    <comment ref="G27" authorId="0" shapeId="0" xr:uid="{401C01B5-C1D5-4530-A6D5-44B1561E91DA}">
      <text>
        <r>
          <rPr>
            <sz val="9"/>
            <color indexed="81"/>
            <rFont val="Tahoma"/>
            <family val="2"/>
          </rPr>
          <t>7 task(s):
1. DATA-INT/STRUCTURE - GOLDESP STRUCTURE REPORT (WAS QA6)
    [Due 29/07/2026]
2. WC/PMP/4622001 - DO THE AMS "ALERT MASK" CHECK
    [Due 29/07/2026]
3. WCCHOP3 - CLEANING AND HUSBANDRY OP 3
    [Due 29/07/2026]
4. WC/PMP/5044004 - SACRU LUBRICATE
    [Due 29/07/2026]
5. WC/PMP/5044005 - SACRU VISUAL EXAMINATION
    [Due 29/07/2026]
6. WC/PMP/5044006 - SACRU FUNCTIONAL TEST
    [Due 29/07/2026]
7. WCAHECAMO26008 - INSPECTION FOR CORRECT LOCKING OF COLLECTIVE 6 CO...
    [Due 30/07/2026]</t>
        </r>
      </text>
    </comment>
    <comment ref="K27" authorId="0" shapeId="0" xr:uid="{5B59EE5A-4B79-457E-AE3A-585B12961516}">
      <text>
        <r>
          <rPr>
            <sz val="9"/>
            <color indexed="81"/>
            <rFont val="Tahoma"/>
            <family val="2"/>
          </rPr>
          <t>7 task(s):
1. DATA-INT/STRUCTURE - GOLDESP STRUCTURE REPORT (WAS QA6)
    [Due 28/08/2026]
2. WC/PMP/4622001 - DO THE AMS "ALERT MASK" CHECK
    [Due 28/08/2026]
3. WCCHOP3 - CLEANING AND HUSBANDRY OP 3
    [Due 28/08/2026]
4. WC/PMP/5044004 - SACRU LUBRICATE
    [Due 28/08/2026]
5. WC/PMP/5044005 - SACRU VISUAL EXAMINATION
    [Due 28/08/2026]
6. WC/PMP/5044006 - SACRU FUNCTIONAL TEST
    [Due 28/08/2026]
7. WCAHECAMO26008 - INSPECTION FOR CORRECT LOCKING OF COLLECTIVE 6 CO...
    [Due 29/08/2026]</t>
        </r>
      </text>
    </comment>
    <comment ref="O27" authorId="0" shapeId="0" xr:uid="{1D8BC901-5D17-4AC7-8971-4D546986447C}">
      <text>
        <r>
          <rPr>
            <sz val="9"/>
            <color indexed="81"/>
            <rFont val="Tahoma"/>
            <family val="2"/>
          </rPr>
          <t>6 task(s):
1. DATA-INT/STRUCTURE - GOLDESP STRUCTURE REPORT (WAS QA6)
    [Due 27/09/2026]
2. WC/PMP/4622001 - DO THE AMS "ALERT MASK" CHECK
    [Due 27/09/2026]
3. WCCHOP3 - CLEANING AND HUSBANDRY OP 3
    [Due 27/09/2026]
4. WC/PMP/5044004 - SACRU LUBRICATE
    [Due 27/09/2026]
5. WC/PMP/5044005 - SACRU VISUAL EXAMINATION
    [Due 27/09/2026]
6. WC/PMP/5044006 - SACRU FUNCTIONAL TEST
    [Due 27/09/2026]</t>
        </r>
      </text>
    </comment>
    <comment ref="P27" authorId="0" shapeId="0" xr:uid="{A2B9CB3E-F368-4961-BD84-AC8747510FBD}">
      <text>
        <r>
          <rPr>
            <sz val="9"/>
            <color indexed="81"/>
            <rFont val="Tahoma"/>
            <family val="2"/>
          </rPr>
          <t>1 task(s):
1. WCAHECAMO26008 - INSPECTION FOR CORRECT LOCKING OF COLLECTIVE 6 CO...
    [Due 28/09/2026]</t>
        </r>
      </text>
    </comment>
    <comment ref="D28" authorId="0" shapeId="0" xr:uid="{053AE8EB-E5F0-421C-8F92-A05E73D9442C}">
      <text>
        <r>
          <rPr>
            <sz val="9"/>
            <color indexed="81"/>
            <rFont val="Tahoma"/>
            <family val="2"/>
          </rPr>
          <t>1 task(s):
1. *** WC/STORAGE/START - START STORAGE MAINTENANCE SCHEDULE ***
    [Due 02/07/2026]</t>
        </r>
      </text>
    </comment>
    <comment ref="G28" authorId="0" shapeId="0" xr:uid="{CFBB8488-AD29-4BB2-A8AB-CB68E039650E}">
      <text>
        <r>
          <rPr>
            <sz val="9"/>
            <color indexed="81"/>
            <rFont val="Tahoma"/>
            <family val="2"/>
          </rPr>
          <t>1 task(s):
1. *** WC/STORAGE/START - START STORAGE MAINTENANCE SCHEDULE ***
    [Due 30/07/2026]</t>
        </r>
      </text>
    </comment>
    <comment ref="K28" authorId="0" shapeId="0" xr:uid="{C7D0F389-06AF-4AE8-8365-790BB1621813}">
      <text>
        <r>
          <rPr>
            <sz val="9"/>
            <color indexed="81"/>
            <rFont val="Tahoma"/>
            <family val="2"/>
          </rPr>
          <t>1 task(s):
1. *** WC/STORAGE/START - START STORAGE MAINTENANCE SCHEDULE ***
    [Due 27/08/2026]</t>
        </r>
      </text>
    </comment>
    <comment ref="O28" authorId="0" shapeId="0" xr:uid="{D4CC1247-AAD1-48C4-A81C-53DE817A61A5}">
      <text>
        <r>
          <rPr>
            <sz val="9"/>
            <color indexed="81"/>
            <rFont val="Tahoma"/>
            <family val="2"/>
          </rPr>
          <t>1 task(s):
1. *** WC/STORAGE/START - START STORAGE MAINTENANCE SCHEDULE ***
    [Due 24/09/2026]</t>
        </r>
      </text>
    </comment>
    <comment ref="E29" authorId="0" shapeId="0" xr:uid="{43055A0A-4FB1-4631-8480-FDE5500677A0}">
      <text>
        <r>
          <rPr>
            <sz val="9"/>
            <color indexed="81"/>
            <rFont val="Tahoma"/>
            <family val="2"/>
          </rPr>
          <t>3 task(s):
1. *** WC/LLC/335100001 - COCKPIT EMERGENCY EGRESS LIGHTS PSU BATTERY ***
    [Due 14/07/2026]
2. *** WC/LLC/335200003 - LEFT CABIN EMERGENCY EGRESS LIGHTS PSU BATTERY ***
    [Due 14/07/2026]
3. *** WC/LLC/335200004 - RIGHT CABIN EMERGENCY EGRESS LIGHTS PSU BATTERY ***
    [Due 14/07/2026]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Flynn, Christopher Sgt (1AAC-WKSP-659SMG-SenSupAv02)</author>
  </authors>
  <commentList>
    <comment ref="R5" authorId="0" shapeId="0" xr:uid="{4F410963-D1AF-41D3-B06D-E0C844A7AA5D}">
      <text>
        <r>
          <rPr>
            <sz val="9"/>
            <color indexed="81"/>
            <rFont val="Tahoma"/>
            <family val="2"/>
          </rPr>
          <t>1 task(s):
1. *** WC/OHL/DDE - ENGINE FUEL NOZZLE ASSEMBLIES ***
    [Due in 88:51E1]</t>
        </r>
      </text>
    </comment>
    <comment ref="O6" authorId="0" shapeId="0" xr:uid="{BC063D11-4C00-41AF-9AD6-D37B1CB58D80}">
      <text>
        <r>
          <rPr>
            <sz val="9"/>
            <color indexed="81"/>
            <rFont val="Tahoma"/>
            <family val="2"/>
          </rPr>
          <t>1 task(s):
1. WC/PMP/7200005/DDE - ENGINE DDE COMBUSTION CHAMBER BORESCOPE INSPECTION
    [Due in 81:31E1]
    [PULLED 0% to Maint]</t>
        </r>
      </text>
    </comment>
    <comment ref="Q7" authorId="0" shapeId="0" xr:uid="{448DC00A-DA6C-4190-BE6F-B847CBDB8C5E}">
      <text>
        <r>
          <rPr>
            <sz val="9"/>
            <color indexed="81"/>
            <rFont val="Tahoma"/>
            <family val="2"/>
          </rPr>
          <t>1 task(s):
1. *** WCR0196PTB - ENGINE TURBINE  STANDARDISED MANAGEMENT OF COMBUS... ***
    [Due in 81:31E1]</t>
        </r>
      </text>
    </comment>
    <comment ref="D8" authorId="0" shapeId="0" xr:uid="{3A52D091-B961-4A31-AB0C-BF6F066C87A0}">
      <text>
        <r>
          <rPr>
            <sz val="9"/>
            <color indexed="81"/>
            <rFont val="Tahoma"/>
            <family val="2"/>
          </rPr>
          <t>1 task(s):
1. WC/PMP/7510001 - ENGINE AIR - TORQUE CHECK (PRE-MOD W1026/L2884 ON...
    [Due in 10:33HH]
    [PULLED 0% to Maint]</t>
        </r>
      </text>
    </comment>
    <comment ref="J9" authorId="0" shapeId="0" xr:uid="{AC4AAC9E-7BE9-49D4-8EE7-A1847B21E2F3}">
      <text>
        <r>
          <rPr>
            <sz val="9"/>
            <color indexed="81"/>
            <rFont val="Tahoma"/>
            <family val="2"/>
          </rPr>
          <t>4 task(s):
1. WC/PMP/3210003 - MAIN LANDING GEAR - EXAMINE AND LUBRICATE
    [Due in 43:36HH]
    [PULLED 8% to Maint]
2. WC/PMP/3210010 - MAIN LANDING GEAR LUBRICATION
    [Due in 43:36HH]
    [PULLED 8% to Maint]
3. WC/PMP/3220003 - NOSE LANDING GEAR - EXAMINE AND LUBRICATE
    [Due in 43:36HH]
    [PULLED 8% to Maint]
4. WC/PMP/3220010 - NOSE LANDING GEAR LUBRICATION
    [Due in 43:36HH]
    [PULLED 8% to Maint]</t>
        </r>
      </text>
    </comment>
    <comment ref="O9" authorId="0" shapeId="0" xr:uid="{DA937F2C-7FDE-4978-9424-39F83370403E}">
      <text>
        <r>
          <rPr>
            <sz val="9"/>
            <color indexed="81"/>
            <rFont val="Tahoma"/>
            <family val="2"/>
          </rPr>
          <t>8 task(s):
1. WC/PMP/6710003 - COLLECTIVE CONTROLS - DESIGN DATA/TOLERANCES CX
    [Due in 58:03HH]
    [PULLED 0% to Maint]
2. WC/PMP/6720002 - IVE OF THE TAIL ROTOR CONTROL SYSTEM
    [Due in 58:03HH]
    [PULLED 0% to Maint]
3. WC/PMP/6220014 - PCR CERAMIC BEARING - IVE
    [Due in 58:03HH]
    [PULLED 0% to Maint]
4. WC/PMP/6220014 - PCR CERAMIC BEARING - IVE
    [Due in 58:03HH]
    [PULLED 0% to Maint]
5. WC/PMP/6220014 - PCR CERAMIC BEARING - IVE
    [Due in 58:03HH]
    [PULLED 0% to Maint]
6. WC/PMP/6720003 - TAIL ROTOR FLYING CONTROLS, YAW CONTROL ROD 8 EXA...
    [Due in 58:03HH]
    [PULLED 0% to Maint]
7. WC/PMP/6220006 - MRH SPIDER ASSEMBLY - EXAMINE
    [Due in 58:03HH]
    [PULLED 0% to Maint]
8. WC/PMP/6220014 - PCR CERAMIC BEARING - IVE
    [Due in 58:03HH]
    [PULLED 0% to Maint]</t>
        </r>
      </text>
    </comment>
    <comment ref="Q9" authorId="0" shapeId="0" xr:uid="{5868FC24-10B6-4DCC-82E2-C54667F500FD}">
      <text>
        <r>
          <rPr>
            <sz val="9"/>
            <color indexed="81"/>
            <rFont val="Tahoma"/>
            <family val="2"/>
          </rPr>
          <t>3 task(s):
1. *** WCR0157/2 - FUSELAGE - PERIODIC INSPECTION OF THE BASIC AIRFR... ***
    [Due in 58:03HH]
2. *** WCR0173/1 - LAG PLANE DAMPER TRUNNION ASSEMBLY DISPLACEMENT ***
    [Due in 58:03HH]
3. *** WCR0173 - LAG PLANE DAMPER TRUNNION ASSEMBLY DISPLACEMENT ***
    [Due in 58:03HH]</t>
        </r>
      </text>
    </comment>
    <comment ref="D10" authorId="0" shapeId="0" xr:uid="{C6CD3384-FBBA-4EE6-B390-879606016215}">
      <text>
        <r>
          <rPr>
            <sz val="9"/>
            <color indexed="81"/>
            <rFont val="Tahoma"/>
            <family val="2"/>
          </rPr>
          <t>4 task(s):
1. WC/PMP/5210007 - CABIN DOOR WINDOWS - JETTISON CHECK
    [Due in 8:03HH]
    [PULLED 0% to Maint]
2. WC/PMP/5210008 - DONOTUSE - CANCELLED - CABIN DOOR LATCH - FUNCTIO...
    [Due in 8:03HH]
    [PULLED 0% to Maint]
3. WC/PMP/6420002 - TAIL ROTOR HUB - EXAMINE
    [Due in 8:03HH]
    [PULLED 0% to Maint]
4. WC/PMP/6322001 - DO A CHECK OF THE MRGB NO2 ACCESSORY FREEWHEEL
    [Due in 8:03HH]
    [PULLED 0% to Maint]</t>
        </r>
      </text>
    </comment>
    <comment ref="J10" authorId="0" shapeId="0" xr:uid="{D9AF5B7E-F471-4F29-B204-6DBF244E7BB8}">
      <text>
        <r>
          <rPr>
            <sz val="9"/>
            <color indexed="81"/>
            <rFont val="Tahoma"/>
            <family val="2"/>
          </rPr>
          <t>1 task(s):
1. WC/PMP/6510003 - TRDS DRIVE FLANGE, SHAFTS, FLEX COUPLING - EXAMINE
    [Due in 31:45HH]
    [PULLED 0% to Maint]</t>
        </r>
      </text>
    </comment>
    <comment ref="O10" authorId="0" shapeId="0" xr:uid="{78040AD2-830C-4D69-A1D7-722EC5EB6BA3}">
      <text>
        <r>
          <rPr>
            <sz val="9"/>
            <color indexed="81"/>
            <rFont val="Tahoma"/>
            <family val="2"/>
          </rPr>
          <t>2 task(s):
1. WC/PMP/5210005/3 - COCKPIT DOORS - JETTISON CHECK (PRE-MOD W1054 ONL...
    [Due in 58:52HH]
    [PULLED 0% to Maint]
2. WC/PMP/6210002 - MAIN ROTOR BLADES - EXAMINE
    [Due in 58:52HH]
    [PULLED 0% to Maint]</t>
        </r>
      </text>
    </comment>
    <comment ref="Q11" authorId="0" shapeId="0" xr:uid="{A16A86BB-C806-48F3-B6FF-2C195A215D5D}">
      <text>
        <r>
          <rPr>
            <sz val="9"/>
            <color indexed="81"/>
            <rFont val="Tahoma"/>
            <family val="2"/>
          </rPr>
          <t>1 task(s):
1. WC/MISC06/1 - Check torque of Engine air bleed duct post instal...
    [Due in 66:55HH]</t>
        </r>
      </text>
    </comment>
    <comment ref="N12" authorId="0" shapeId="0" xr:uid="{A81FC3EC-97EC-4CDA-82EE-70C036A82743}">
      <text>
        <r>
          <rPr>
            <sz val="9"/>
            <color indexed="81"/>
            <rFont val="Tahoma"/>
            <family val="2"/>
          </rPr>
          <t>3 task(s):
1. WC/MISC17 - HUMS MDTD MAINTENANCE PARTITION DOWNLOAD/ERASE
    [Due in 54:49HH]
2. *** WCR0007/1 - KY100 MTU 1,2 AND 3 MOUNTING TRAY CRACKING ***
    [Due in 54:49HH]
3. *** WCR0050/2 - WILDCAT LEFT AND RIGHT COCKPIT DOOR HOLD OPEN STR... ***
    [Due in 54:49HH]</t>
        </r>
      </text>
    </comment>
    <comment ref="O12" authorId="0" shapeId="0" xr:uid="{28F61E04-60E6-4749-8347-90F73BFA3675}">
      <text>
        <r>
          <rPr>
            <sz val="9"/>
            <color indexed="81"/>
            <rFont val="Tahoma"/>
            <family val="2"/>
          </rPr>
          <t>18 task(s):
1. WC/PMP/7200003 - ENGINE COMPRESSOR WASH
    [Due in 52:45HH]
    [EXT. REQ. FOR 14/09/2026; 5% to Maint]
2. WC/PMP/2810001 - FUEL SYSTEM - WATER/SEDIMENT CHECK
    [Due in 54:49HH]
    [EXT. REQ. FOR 14/09/2026; 5% to Maint]
3. WC/PMP/2910010 - NO1 HYDRAULIC SYSTEM
    [Due in 54:49HH]
    [EXT. REQ. FOR 14/09/2026; 5% to Maint]
4. WC/PMP/3040004 - WINDSCREEN WIPER SYSTEM - OPERATION TESTS
    [Due in 54:49HH]
    [EXT. REQ. FOR 14/09/2026; 5% to Maint]
5. WC/PMP/4300003 - CONFORMAL ANTENNA-CHECK TQ LOAD
    [Due in 54:49HH]
    [EXT. REQ. FOR 14/09/2026; 5% to Maint]
6. WC/PMP/5328003 - CABIN DOOR RAILS - EXAMINE
    [Due in 54:49HH]
    [EXT. REQ. FOR 14/09/2026; 5% to Maint]
7. WC/PMP/5340004 - ENGINE AIR INTAKE FAIRINGS - EXAMINE
    [Due in 54:49HH]
    [EXT. REQ. FOR 14/09/2026; 5% to Maint]
8. WC/PMP/5340008 - SCORCH GUARDS AND IRSF DUCTS
    [Due in 54:49HH]
    [EXT. REQ. FOR 14/09/2026; 5% to Maint]
9. WC/PMP/6410002 - TAIL ROTOR BLADES - EXAMINE
    [Due in 54:49HH]
    [EXT. REQ. FOR 14/09/2026; 5% to Maint]
10. WC/PMP/6410002 - TAIL ROTOR BLADES - EXAMINE
    [Due in 54:49HH]
    [EXT. REQ. FOR 14/09/2026; 5% to Maint]
11. WC/PMP/6410002 - TAIL ROTOR BLADES - EXAMINE
    [Due in 54:49HH]
    [EXT. REQ. FOR 14/09/2026; 5% to Maint]
12. WC/PMP/6211001 - LPD INTENSIVE VISUAL EXAMINATION
    [Due in 54:49HH]
    [EXT. REQ. FOR 14/09/2026; 5% to Maint]
13. WC/PMP/7200003 - ENGINE COMPRESSOR WASH
    [Due in 52:45HH]
    [EXT. REQ. FOR 14/09/2026; 5% to Maint]
14. WC/PMP/6211001 - LPD INTENSIVE VISUAL EXAMINATION
    [Due in 54:49HH]
    [EXT. REQ. FOR 14/09/2026; 5% to Maint]
15. WC/PMP/6211001 - LPD INTENSIVE VISUAL EXAMINATION
    [Due in 54:49HH]
    [EXT. REQ. FOR 14/09/2026; 5% to Maint]
16. WC/PMP/6410002 - TAIL ROTOR BLADES - EXAMINE
    [Due in 54:49HH]
    [EXT. REQ. FOR 14/09/2026; 5% to Maint]
17. WC/PMP/6220007 - MRH PITCH CTRL RODS - DIMENSIONS CHECK
    [Due in 54:49HH]
    [EXT. REQ. FOR 1
... [comment truncated]</t>
        </r>
      </text>
    </comment>
    <comment ref="G13" authorId="0" shapeId="0" xr:uid="{16CF1FAD-0293-473D-A81F-5E43608945FA}">
      <text>
        <r>
          <rPr>
            <sz val="9"/>
            <color indexed="81"/>
            <rFont val="Tahoma"/>
            <family val="2"/>
          </rPr>
          <t>1 task(s):
1. WC/MISC06 - Check torque of Engine air bleed duct post instal...
    [Due in 11:55HH]</t>
        </r>
      </text>
    </comment>
    <comment ref="G14" authorId="0" shapeId="0" xr:uid="{01EC9B27-369C-4305-9628-94E7603752A7}">
      <text>
        <r>
          <rPr>
            <sz val="9"/>
            <color indexed="81"/>
            <rFont val="Tahoma"/>
            <family val="2"/>
          </rPr>
          <t>1 task(s):
1. WC/MISC03 - POST INSTALLATION OF THE ROTOR BRAKE DISC
    [Due in 4:49HH]</t>
        </r>
      </text>
    </comment>
    <comment ref="H14" authorId="0" shapeId="0" xr:uid="{DEAF115E-D426-4BED-8F33-FB70C9912D86}">
      <text>
        <r>
          <rPr>
            <sz val="9"/>
            <color indexed="81"/>
            <rFont val="Tahoma"/>
            <family val="2"/>
          </rPr>
          <t>1 task(s):
1. *** WCR0197PTB - INSPECTION OF PORT AND STBD 1815F CONTROL FRAME S... ***
    [Due in 19:22HH]</t>
        </r>
      </text>
    </comment>
    <comment ref="J14" authorId="0" shapeId="0" xr:uid="{D11ABD81-7E5A-4061-B41C-35CE7167750A}">
      <text>
        <r>
          <rPr>
            <sz val="9"/>
            <color indexed="81"/>
            <rFont val="Tahoma"/>
            <family val="2"/>
          </rPr>
          <t>7 task(s):
1. WC/PMP/2433004 - DC SYSTEM BATTERY
    [Due in 36:31HH]
    [PULLED 0% to Maint]
2. WC/PMP/6320007 - MRGB MAG PLUG - EXAMINE
    [Due in 36:31HH]
    [PULLED 0% to Maint]
3. WC/PMP/6320008 - MRGB OIL SYSTEM - SAMPLE
    [Due in 36:31HH]
    [PULLED 0% to Maint]
4. WC/PMP/6521003 - IGB MAG PLUG - EXAMINE
    [Due in 36:31HH]
    [PULLED 0% to Maint]
5. WC/PMP/6521004 - INTERMEDIATE GEARBOX - OIL SAMPLE
    [Due in 36:31HH]
    [PULLED 0% to Maint]
6. WC/PMP/6522003 - TAIL ROTOR GEARBOX MAG PLUG - EXAMINE
    [Due in 36:31HH]
    [PULLED 0% to Maint]
7. WC/PMP/6522004 - TAIL ROTOR GEARBOX - OIL SAMPLE
    [Due in 36:31HH]
    [PULLED 0% to Maint]</t>
        </r>
      </text>
    </comment>
    <comment ref="M14" authorId="0" shapeId="0" xr:uid="{AD03986E-6E30-4D0B-80E8-432A20A7F052}">
      <text>
        <r>
          <rPr>
            <sz val="9"/>
            <color indexed="81"/>
            <rFont val="Tahoma"/>
            <family val="2"/>
          </rPr>
          <t>1 task(s):
1. *** WC/OHL/945200101 - MOUNTING BUFFER BAY MAINTENANCE ***
    [Due in 44:35HH]</t>
        </r>
      </text>
    </comment>
    <comment ref="N14" authorId="0" shapeId="0" xr:uid="{7E6A7CEB-F256-4454-91F3-C508494E21D7}">
      <text>
        <r>
          <rPr>
            <sz val="9"/>
            <color indexed="81"/>
            <rFont val="Tahoma"/>
            <family val="2"/>
          </rPr>
          <t>1 task(s):
1. WC/MISC03 - POST INSTALLATION OF THE ROTOR BRAKE DISC
    [Due in 4:49HH]</t>
        </r>
      </text>
    </comment>
    <comment ref="Q14" authorId="0" shapeId="0" xr:uid="{6C0B6887-0792-4C34-9EA3-B442719F01A1}">
      <text>
        <r>
          <rPr>
            <sz val="9"/>
            <color indexed="81"/>
            <rFont val="Tahoma"/>
            <family val="2"/>
          </rPr>
          <t>1 task(s):
1. *** WCR0197PTB - INSPECTION OF PORT AND STBD 1815F CONTROL FRAME S... ***
    [Due in 19:22HH]</t>
        </r>
      </text>
    </comment>
    <comment ref="D15" authorId="0" shapeId="0" xr:uid="{AE31BC19-969F-43AE-A5AA-970532C39559}">
      <text>
        <r>
          <rPr>
            <sz val="9"/>
            <color indexed="81"/>
            <rFont val="Tahoma"/>
            <family val="2"/>
          </rPr>
          <t>3 task(s):
1. WC/PMP/7100006 - TEST FLIGHT - PPI CHECK
    [Due in 11:31HH]
    [PULLED 0% to Maint]
2. WC/SRA/1800001 - Assess MPGS Small Rotor Adjustments from HUMS RTB...
    [Due in 6:15HH]
    [PULLED 0% to Maint]
3. WC/PMP/7100006 - TEST FLIGHT - PPI CHECK
    [Due in 11:31HH]
    [PULLED 0% to Maint]</t>
        </r>
      </text>
    </comment>
    <comment ref="G15" authorId="0" shapeId="0" xr:uid="{881772D5-F12F-4C43-9C89-53231EE1E865}">
      <text>
        <r>
          <rPr>
            <sz val="9"/>
            <color indexed="81"/>
            <rFont val="Tahoma"/>
            <family val="2"/>
          </rPr>
          <t>1 task(s):
1. *** WCR0180PTA/1 - INSPECTION OF THE AIRFRAME TO TAILPLANE ATTACHMEN... ***
    [Due in 6:15HH]</t>
        </r>
      </text>
    </comment>
    <comment ref="H15" authorId="0" shapeId="0" xr:uid="{A2251280-7F83-46E5-B098-DFD7DF13E56C}">
      <text>
        <r>
          <rPr>
            <sz val="9"/>
            <color indexed="81"/>
            <rFont val="Tahoma"/>
            <family val="2"/>
          </rPr>
          <t>5 task(s):
1. WC/PMP/7100009 - PPI CHECK ANALYSIS
    [Due in 14:15HH]
2. WC/TVM/1800001 - TRANSMISSION VIBRATION MONITORING
    [Due in 14:15HH]
3. WCAHECAMO26008 - INSPECTION FOR CORRECT LOCKING OF COLLECTIVE 6 CO...
    [Due in 14:15HH]
4. WC/PMP/7100009 - PPI CHECK ANALYSIS
    [Due in 14:15HH]
5. WC/PMP/9452002 - MOUNTING BUFFER INSP/MAINT - IAW AESP 1005-N-510-...
    [Due in 19:35HH]</t>
        </r>
      </text>
    </comment>
    <comment ref="J15" authorId="0" shapeId="0" xr:uid="{BD023422-0B2E-4C14-9ED9-A578B98BEB17}">
      <text>
        <r>
          <rPr>
            <sz val="9"/>
            <color indexed="81"/>
            <rFont val="Tahoma"/>
            <family val="2"/>
          </rPr>
          <t>3 task(s):
1. WC/PMP/7100006 - TEST FLIGHT - PPI CHECK
    [Due in 11:31HH]
    [PULLED 0% to Maint]
2. WC/SRA/1800001 - Assess MPGS Small Rotor Adjustments from HUMS RTB...
    [Due in 6:15HH]
    [PULLED 0% to Maint]
3. WC/PMP/7100006 - TEST FLIGHT - PPI CHECK
    [Due in 11:31HH]
    [PULLED 0% to Maint]</t>
        </r>
      </text>
    </comment>
    <comment ref="L15" authorId="0" shapeId="0" xr:uid="{8BE84889-07E9-43AD-88C9-071E36107E14}">
      <text>
        <r>
          <rPr>
            <sz val="9"/>
            <color indexed="81"/>
            <rFont val="Tahoma"/>
            <family val="2"/>
          </rPr>
          <t>1 task(s):
1. *** WCR0180PTA/1 - INSPECTION OF THE AIRFRAME TO TAILPLANE ATTACHMEN... ***
    [Due in 6:15HH]</t>
        </r>
      </text>
    </comment>
    <comment ref="M15" authorId="0" shapeId="0" xr:uid="{261184A8-8D03-4EB4-BA4E-D383479EC917}">
      <text>
        <r>
          <rPr>
            <sz val="9"/>
            <color indexed="81"/>
            <rFont val="Tahoma"/>
            <family val="2"/>
          </rPr>
          <t>5 task(s):
1. WC/PMP/7100009 - PPI CHECK ANALYSIS
    [Due in 14:15HH]
2. WC/TVM/1800001 - TRANSMISSION VIBRATION MONITORING
    [Due in 14:15HH]
3. WCAHECAMO26008 - INSPECTION FOR CORRECT LOCKING OF COLLECTIVE 6 CO...
    [Due in 14:15HH]
4. WC/PMP/7100009 - PPI CHECK ANALYSIS
    [Due in 14:15HH]
5. WC/PMP/9452002 - MOUNTING BUFFER INSP/MAINT - IAW AESP 1005-N-510-...
    [Due in 19:35HH]</t>
        </r>
      </text>
    </comment>
    <comment ref="O15" authorId="0" shapeId="0" xr:uid="{0A42E629-7838-4CF2-B03F-6FDB863B7473}">
      <text>
        <r>
          <rPr>
            <sz val="9"/>
            <color indexed="81"/>
            <rFont val="Tahoma"/>
            <family val="2"/>
          </rPr>
          <t>4 task(s):
1. WC/PMP/7100006 - TEST FLIGHT - PPI CHECK
    [Due in 11:31HH]
    [PULLED 0% to Maint]
2. WC/SRA/1800001 - Assess MPGS Small Rotor Adjustments from HUMS RTB...
    [Due in 6:15HH]
    [PULLED 0% to Maint]
3. WC/PMP/7100006 - TEST FLIGHT - PPI CHECK
    [Due in 11:31HH]
    [PULLED 0% to Maint]
4. WC/PMP/9452002 - MOUNTING BUFFER INSP/MAINT - IAW AESP 1005-N-510-...
    [Due in 19:35HH]
    [PULLED 0% to Maint]</t>
        </r>
      </text>
    </comment>
    <comment ref="Q15" authorId="0" shapeId="0" xr:uid="{839CCCA5-1678-49C7-AD14-C54D7E7CC018}">
      <text>
        <r>
          <rPr>
            <sz val="9"/>
            <color indexed="81"/>
            <rFont val="Tahoma"/>
            <family val="2"/>
          </rPr>
          <t>1 task(s):
1. *** WCR0180PTA/1 - INSPECTION OF THE AIRFRAME TO TAILPLANE ATTACHMEN... ***
    [Due in 6:15HH]</t>
        </r>
      </text>
    </comment>
    <comment ref="R15" authorId="0" shapeId="0" xr:uid="{DD965C40-1CA0-4360-944D-1110515E8143}">
      <text>
        <r>
          <rPr>
            <sz val="9"/>
            <color indexed="81"/>
            <rFont val="Tahoma"/>
            <family val="2"/>
          </rPr>
          <t>4 task(s):
1. WC/PMP/7100009 - PPI CHECK ANALYSIS
    [Due in 14:15HH]
2. WC/TVM/1800001 - TRANSMISSION VIBRATION MONITORING
    [Due in 14:15HH]
3. WCAHECAMO26008 - INSPECTION FOR CORRECT LOCKING OF COLLECTIVE 6 CO...
    [Due in 14:15HH]
4. WC/PMP/7100009 - PPI CHECK ANALYSIS
    [Due in 14:15HH]</t>
        </r>
      </text>
    </comment>
    <comment ref="G16" authorId="0" shapeId="0" xr:uid="{C2A87618-8A16-494E-8D74-DF82B5E67D54}">
      <text>
        <r>
          <rPr>
            <sz val="9"/>
            <color indexed="81"/>
            <rFont val="Tahoma"/>
            <family val="2"/>
          </rPr>
          <t>1 task(s):
1. *** WCR0183PTB/1 - MAIN ROTOR GEARBOX - ENHANCED CONDITION INDICATOR... ***
    [Due in 8:51HH]</t>
        </r>
      </text>
    </comment>
    <comment ref="H16" authorId="0" shapeId="0" xr:uid="{A8748CA0-62B3-4212-9E6A-DA8B5017EB27}">
      <text>
        <r>
          <rPr>
            <sz val="9"/>
            <color indexed="81"/>
            <rFont val="Tahoma"/>
            <family val="2"/>
          </rPr>
          <t>1 task(s):
1. *** WCR0183PTB/1 - MAIN ROTOR GEARBOX - ENHANCED CONDITION INDICATOR... ***
    [Due in 8:51HH]</t>
        </r>
      </text>
    </comment>
    <comment ref="L16" authorId="0" shapeId="0" xr:uid="{064ADBB2-D2EC-4418-A2C3-A6981791A4A7}">
      <text>
        <r>
          <rPr>
            <sz val="9"/>
            <color indexed="81"/>
            <rFont val="Tahoma"/>
            <family val="2"/>
          </rPr>
          <t>1 task(s):
1. *** WCR0183PTB/1 - MAIN ROTOR GEARBOX - ENHANCED CONDITION INDICATOR... ***
    [Due in 8:51HH]</t>
        </r>
      </text>
    </comment>
    <comment ref="M16" authorId="0" shapeId="0" xr:uid="{B678E832-08F3-4CB9-B9AC-CF16929B2884}">
      <text>
        <r>
          <rPr>
            <sz val="9"/>
            <color indexed="81"/>
            <rFont val="Tahoma"/>
            <family val="2"/>
          </rPr>
          <t>1 task(s):
1. *** WCR0183PTB/1 - MAIN ROTOR GEARBOX - ENHANCED CONDITION INDICATOR... ***
    [Due in 8:51HH]</t>
        </r>
      </text>
    </comment>
    <comment ref="Q16" authorId="0" shapeId="0" xr:uid="{425D119E-66E9-4B43-AC0B-B3CC4AB14B4A}">
      <text>
        <r>
          <rPr>
            <sz val="9"/>
            <color indexed="81"/>
            <rFont val="Tahoma"/>
            <family val="2"/>
          </rPr>
          <t>1 task(s):
1. *** WCR0183PTB/1 - MAIN ROTOR GEARBOX - ENHANCED CONDITION INDICATOR... ***
    [Due in 8:51HH]</t>
        </r>
      </text>
    </comment>
    <comment ref="R16" authorId="0" shapeId="0" xr:uid="{CEEB97F2-903A-450E-B376-E65CAFA2633A}">
      <text>
        <r>
          <rPr>
            <sz val="9"/>
            <color indexed="81"/>
            <rFont val="Tahoma"/>
            <family val="2"/>
          </rPr>
          <t>1 task(s):
1. *** WCR0183PTB/1 - MAIN ROTOR GEARBOX - ENHANCED CONDITION INDICATOR... ***
    [Due in 8:51HH]</t>
        </r>
      </text>
    </comment>
    <comment ref="D17" authorId="0" shapeId="0" xr:uid="{7FCFAF4A-2712-4578-86CC-6F4131774B36}">
      <text>
        <r>
          <rPr>
            <sz val="9"/>
            <color indexed="81"/>
            <rFont val="Tahoma"/>
            <family val="2"/>
          </rPr>
          <t>7 task(s):
1. WC/PMP/1222003/1 - ZONAL INSPECTION - OPERATION 3
    [Due 21/07/2026]
2. WC/PMP/1222010/1 - ZONAL INSPECTION - OPERATION 10
    [Due 21/07/2026]
3. WC/PMP/1222011/1 - ZONAL INSPECTION - OPERATION 11
    [Due 21/07/2026]
4. WC/PMP/1222012/1 - ZONAL INSPECTION - OPERATION 12
    [Due 21/07/2026]
5. WC/PMP/2400001 - CIRCUIT BREAKERS - OPERATION TESTS
    [Due 21/07/2026]
6. WC/PMP/2400003 - DC GEN BUS TIE CTRL SYS - FUNTION TEST
    [Due 21/07/2026]
7. WC/PMP/6521006 - IGB EXTERNAL SURFACES - EXAMINE
    [Due 29/09/2026]
    [PULLED TO ALIGN]</t>
        </r>
      </text>
    </comment>
    <comment ref="D18" authorId="0" shapeId="0" xr:uid="{8631108F-1C0E-49B8-8B58-D18D32989EB9}">
      <text>
        <r>
          <rPr>
            <sz val="9"/>
            <color indexed="81"/>
            <rFont val="Tahoma"/>
            <family val="2"/>
          </rPr>
          <t>1 task(s):
1. *** WCR0152PTE - MANAGEMENT OF I-BEAM/S406 FRAME CORROSION ***
    [Due 22/07/2026]</t>
        </r>
      </text>
    </comment>
    <comment ref="R18" authorId="0" shapeId="0" xr:uid="{7C19F0CD-79CF-4FF4-BAFB-B15DE1138953}">
      <text>
        <r>
          <rPr>
            <sz val="9"/>
            <color indexed="81"/>
            <rFont val="Tahoma"/>
            <family val="2"/>
          </rPr>
          <t>1 task(s):
1. *** WC/MAR - MAR REFORECAST ON RECIEPT OF SIGNED MF710 ***
    [Due 12/10/2026]</t>
        </r>
      </text>
    </comment>
    <comment ref="D19" authorId="0" shapeId="0" xr:uid="{1357A73C-EA69-49D4-AA78-803E2FC55705}">
      <text>
        <r>
          <rPr>
            <sz val="9"/>
            <color indexed="81"/>
            <rFont val="Tahoma"/>
            <family val="2"/>
          </rPr>
          <t>15 task(s):
1. WC/PMP/2624002 - HAND FIRE EXTINGUISHER - EXAMINE
    [Due 21/07/2026]
2. WC/PMP/1222015/1 - ZONAL INSPECTION - OPERATION 15
    [Due 21/07/2026]
3. WC/PMP/2161001/1 - HEATING PIPE (PRE-MOD W1015) - INTENSIVE VISUAL E...
    [Due 21/07/2026]
4. WC/PMP/6310001/1 - MRD GIMBAL ELASTOMERIC BEARINGS - EXAMINE
    [Due 21/07/2026]
5. WC/PMP/6320009/1 - ROTOR BRAKE - EXAMINE
    [Due 21/07/2026]
6. WC/PMP/6710003/1 - COLLECTIVE CONTROLS - DESIGN DATA/TOLERANCE CX
    [Due 21/07/2026]
7. WC/PMP/6720003/1 - TAIL ROTOR FLYING CONTROLS, YAW CONTROL ROD 8 EXA...
    [Due 21/07/2026]
8. WC/PMP/5043009 - RESCUE HOIST - FUNCTION TEST "DC GEN FAIL" CIRCUIT
    [Due 29/07/2026]
    [PULLED 2% to Maint]
9. WC/PMP/5240002/1 - ENGINE SERVICING PLATFORM LATCHES, HINGES AND SUP...
    [Due 30/07/2026]
    [PULLED 2% to Maint]
10. WC/PMP/5240003/1 - ENGINE SERVICING PLATFORM FIREWALL SEALS - EXAMINE
    [Due 30/07/2026]
    [PULLED 2% to Maint]
11. WC/PMP/2400002 - BONDING/EARTH POINT-MRB-TRB FUNCTION TESTS
    [Due 06/08/2026]
    [PULLED 4% to Maint]
12. WC/PMP/3411001 - AIR DATA UNIT - FUNCTION TEST
    [Due 20/08/2026]
    [PULLED TO ALIGN]
13. WC/PMP/3450001 - GPS/VOR/ILS - FUNCTION TEST
    [Due 20/08/2026]
    [PULLED TO ALIGN]
14. WC/PMP/9340002 - IFF - INTEGRITY CHECK
    [Due 20/08/2026]
    [PULLED TO ALIGN]
15. WC/PMP/3440001 - INTERNAL NAV SYS - AHRS AND STANDBY COMPASS SWING
    [Due 09/09/2026]
    [PULLED TO ALIGN]
    [PULLED 4% to Maint]</t>
        </r>
      </text>
    </comment>
    <comment ref="D20" authorId="0" shapeId="0" xr:uid="{D5D93127-F09B-4B49-9EB4-C8520083C3D2}">
      <text>
        <r>
          <rPr>
            <sz val="9"/>
            <color indexed="81"/>
            <rFont val="Tahoma"/>
            <family val="2"/>
          </rPr>
          <t>4 task(s):
1. WC/PMP/4545005 - DAPU BEACON - FUNCTION TEST OF THE ULB BATTERY
    [Due 10/07/2026]
2. WC/PMP/6510003/1 - TRDS DRIVE FLANGE, SHAFTS, FLEX COUPLING - EXAMINE
    [Due 10/07/2026]
3. WC/PMP/6521005/1 - IGB SURFACE PROTECTION - INTENSIVE VISUAL EXAMINA...
    [Due 10/07/2026]
4. WC/PMP/5210005/2 - COCKPIT DOORS - JETTISON CHECK
    [Due 11/08/2026]
    [PULLED TO ALIGN]
    [PULLED 12% to Maint]</t>
        </r>
      </text>
    </comment>
    <comment ref="I20" authorId="0" shapeId="0" xr:uid="{DC3661EE-5F48-43B0-954C-5F5F0DCA5093}">
      <text>
        <r>
          <rPr>
            <sz val="9"/>
            <color indexed="81"/>
            <rFont val="Tahoma"/>
            <family val="2"/>
          </rPr>
          <t>1 task(s):
1. *** WC/OHL/243300002 - AUXILIARY BATTERY OVERHAUL LIFE ***
    [Due 10/08/2026]</t>
        </r>
      </text>
    </comment>
    <comment ref="J20" authorId="0" shapeId="0" xr:uid="{CCDA3C9D-32BE-4A3F-B0BF-21631B227075}">
      <text>
        <r>
          <rPr>
            <sz val="9"/>
            <color indexed="81"/>
            <rFont val="Tahoma"/>
            <family val="2"/>
          </rPr>
          <t>2 task(s):
1. *** WC/OHL/243300001 - MAIN DC BATTERY OVERHAUL LIFE ***
    [Due 20/08/2026]
----------------------------------------
1. DATA-INT/MODF700C-AUDIT - MOD F700C AUDIT (WAS QA42)
    [Due 18/09/2026]
    [PULLED 12% to Maint]</t>
        </r>
      </text>
    </comment>
    <comment ref="J21" authorId="0" shapeId="0" xr:uid="{1F06BD01-7EC6-4FCF-86B6-09D13E951B2F}">
      <text>
        <r>
          <rPr>
            <sz val="9"/>
            <color indexed="81"/>
            <rFont val="Tahoma"/>
            <family val="2"/>
          </rPr>
          <t>3 task(s):
1. ADM06 - ANTI-DETERIORATION MAINTENANCE - 6 MONTH
    [Due 29/08/2026]
2. DATA-INT/QA - GOLDESP QA REPORT (WAS QA5)
    [Due 02/09/2026]
    [PULLED 4% to Maint]
3. DATA-INT/WEIGHT - GOLDESP WEIGHT AND BALANCE REPORT (WAS QA7)
    [Due 02/09/2026]
    [PULLED 4% to Maint]</t>
        </r>
      </text>
    </comment>
    <comment ref="J22" authorId="0" shapeId="0" xr:uid="{F494010B-2D11-44D6-8388-CCA2F8F5CBBB}">
      <text>
        <r>
          <rPr>
            <sz val="9"/>
            <color indexed="81"/>
            <rFont val="Tahoma"/>
            <family val="2"/>
          </rPr>
          <t>1 task(s):
1. WC/PMP/3040004/1 - WINDSCREEN WIPER SYSTEM - OPERATION TESTS
    [Due 11/08/2026]
    [EXT. REQ. FOR 10/08/2026; 8% to Maint]</t>
        </r>
      </text>
    </comment>
    <comment ref="O22" authorId="0" shapeId="0" xr:uid="{B4F410C5-4D8E-4148-9C96-B0139286D912}">
      <text>
        <r>
          <rPr>
            <sz val="9"/>
            <color indexed="81"/>
            <rFont val="Tahoma"/>
            <family val="2"/>
          </rPr>
          <t>1 task(s):
1. WC/PMP/6210004/1 - MRB ATTACHMENT PINS - LUBRICATE
    [Due 29/09/2026]</t>
        </r>
      </text>
    </comment>
    <comment ref="I23" authorId="0" shapeId="0" xr:uid="{FBAE7317-6F7D-4153-818B-18901938365A}">
      <text>
        <r>
          <rPr>
            <sz val="9"/>
            <color indexed="81"/>
            <rFont val="Tahoma"/>
            <family val="2"/>
          </rPr>
          <t>1 task(s):
1. *** WCR0201PTA - FUSELAGE FAIRINGS 492AL, 492DL AND 492EL - FASTEN... ***
    [Due 11/08/2026]</t>
        </r>
      </text>
    </comment>
    <comment ref="O23" authorId="0" shapeId="0" xr:uid="{5314594E-7A0F-41F7-8AEC-989542B6F93D}">
      <text>
        <r>
          <rPr>
            <sz val="9"/>
            <color indexed="81"/>
            <rFont val="Tahoma"/>
            <family val="2"/>
          </rPr>
          <t>3 task(s):
1. WC/PMP/7200004 - ENGINES - EXAMINE (EXTERNAL)
    [Due 28/09/2026]
2. WC/PMP/4322001 - TRANS BATTERIES - ELECT POWER CHECK
    [Due 28/09/2026]
3. WC/PMP/7200004 - ENGINES - EXAMINE (EXTERNAL)
    [Due 28/09/2026]</t>
        </r>
      </text>
    </comment>
    <comment ref="D24" authorId="0" shapeId="0" xr:uid="{0A86FC34-57D9-48B3-8718-FC809F37730B}">
      <text>
        <r>
          <rPr>
            <sz val="9"/>
            <color indexed="81"/>
            <rFont val="Tahoma"/>
            <family val="2"/>
          </rPr>
          <t>3 task(s):
1. DATA-INT/STRUCTURE - GOLDESP STRUCTURE REPORT (WAS QA6)
    [Due 17/07/2026]
2. WC/PMP/4622001 - DO THE AMS "ALERT MASK" CHECK
    [Due 17/07/2026]
3. WCCHOP3 - CLEANING AND HUSBANDRY OP 3
    [Due 17/07/2026]</t>
        </r>
      </text>
    </comment>
    <comment ref="G24" authorId="0" shapeId="0" xr:uid="{90CFE7FD-A25A-4471-81DA-5251A568FFA7}">
      <text>
        <r>
          <rPr>
            <sz val="9"/>
            <color indexed="81"/>
            <rFont val="Tahoma"/>
            <family val="2"/>
          </rPr>
          <t>1 task(s):
1. WCAHECAMO26008 - INSPECTION FOR CORRECT LOCKING OF COLLECTIVE 6 CO...
    [Due 30/07/2026]</t>
        </r>
      </text>
    </comment>
    <comment ref="I24" authorId="0" shapeId="0" xr:uid="{0E4459B9-C057-4F7F-B793-5FD9A908EED8}">
      <text>
        <r>
          <rPr>
            <sz val="9"/>
            <color indexed="81"/>
            <rFont val="Tahoma"/>
            <family val="2"/>
          </rPr>
          <t>3 task(s):
1. DATA-INT/STRUCTURE - GOLDESP STRUCTURE REPORT (WAS QA6)
    [Due 16/08/2026]
2. WC/PMP/4622001 - DO THE AMS "ALERT MASK" CHECK
    [Due 16/08/2026]
3. WCCHOP3 - CLEANING AND HUSBANDRY OP 3
    [Due 16/08/2026]</t>
        </r>
      </text>
    </comment>
    <comment ref="J24" authorId="0" shapeId="0" xr:uid="{AEABF64B-7DEF-4A6A-B9A3-CFB805E1147D}">
      <text>
        <r>
          <rPr>
            <sz val="9"/>
            <color indexed="81"/>
            <rFont val="Tahoma"/>
            <family val="2"/>
          </rPr>
          <t>1 task(s):
1. WCAHECAMO26008 - INSPECTION FOR CORRECT LOCKING OF COLLECTIVE 6 CO...
    [Due 29/08/2026]</t>
        </r>
      </text>
    </comment>
    <comment ref="N24" authorId="0" shapeId="0" xr:uid="{E06FD4E1-A0CA-4874-8465-1E48F740B819}">
      <text>
        <r>
          <rPr>
            <sz val="9"/>
            <color indexed="81"/>
            <rFont val="Tahoma"/>
            <family val="2"/>
          </rPr>
          <t>3 task(s):
1. DATA-INT/STRUCTURE - GOLDESP STRUCTURE REPORT (WAS QA6)
    [Due 15/09/2026]
2. WC/PMP/4622001 - DO THE AMS "ALERT MASK" CHECK
    [Due 15/09/2026]
3. WCCHOP3 - CLEANING AND HUSBANDRY OP 3
    [Due 15/09/2026]</t>
        </r>
      </text>
    </comment>
    <comment ref="O24" authorId="0" shapeId="0" xr:uid="{D5D15B9D-6866-4D5C-8F6E-E23E7455F9E7}">
      <text>
        <r>
          <rPr>
            <sz val="9"/>
            <color indexed="81"/>
            <rFont val="Tahoma"/>
            <family val="2"/>
          </rPr>
          <t>1 task(s):
1. WCAHECAMO26008 - INSPECTION FOR CORRECT LOCKING OF COLLECTIVE 6 CO...
    [Due 28/09/2026]</t>
        </r>
      </text>
    </comment>
    <comment ref="R24" authorId="0" shapeId="0" xr:uid="{A561A01A-E41F-4128-8CFF-958356E84100}">
      <text>
        <r>
          <rPr>
            <sz val="9"/>
            <color indexed="81"/>
            <rFont val="Tahoma"/>
            <family val="2"/>
          </rPr>
          <t>3 task(s):
1. DATA-INT/STRUCTURE - GOLDESP STRUCTURE REPORT (WAS QA6)
    [Due 15/10/2026]
2. WC/PMP/4622001 - DO THE AMS "ALERT MASK" CHECK
    [Due 15/10/2026]
3. WCCHOP3 - CLEANING AND HUSBANDRY OP 3
    [Due 15/10/2026]</t>
        </r>
      </text>
    </comment>
    <comment ref="G25" authorId="0" shapeId="0" xr:uid="{37EA58C4-B1B2-4A6B-BBC0-7CD883046F0F}">
      <text>
        <r>
          <rPr>
            <sz val="9"/>
            <color indexed="81"/>
            <rFont val="Tahoma"/>
            <family val="2"/>
          </rPr>
          <t>1 task(s):
1. *** WC/STORAGE/START - START STORAGE MAINTENANCE SCHEDULE ***
    [Due 27/07/2026]</t>
        </r>
      </text>
    </comment>
    <comment ref="J25" authorId="0" shapeId="0" xr:uid="{8302BF1B-1F5B-4305-AB4F-6CB1C76E3D13}">
      <text>
        <r>
          <rPr>
            <sz val="9"/>
            <color indexed="81"/>
            <rFont val="Tahoma"/>
            <family val="2"/>
          </rPr>
          <t>1 task(s):
1. *** WC/STORAGE/START - START STORAGE MAINTENANCE SCHEDULE ***
    [Due 24/08/2026]</t>
        </r>
      </text>
    </comment>
    <comment ref="O25" authorId="0" shapeId="0" xr:uid="{B2E27372-8205-41E9-9E77-9D756B4CF383}">
      <text>
        <r>
          <rPr>
            <sz val="9"/>
            <color indexed="81"/>
            <rFont val="Tahoma"/>
            <family val="2"/>
          </rPr>
          <t>1 task(s):
1. *** WC/STORAGE/START - START STORAGE MAINTENANCE SCHEDULE ***
    [Due 21/09/2026]</t>
        </r>
      </text>
    </comment>
    <comment ref="D26" authorId="0" shapeId="0" xr:uid="{D2BF9D2C-67D3-4D5B-B183-15E86D4E32D0}">
      <text>
        <r>
          <rPr>
            <sz val="9"/>
            <color indexed="81"/>
            <rFont val="Tahoma"/>
            <family val="2"/>
          </rPr>
          <t>1 task(s):
1. *** WC/LLC/344000001 - IGI BATTERY ***
    [Due 23/07/2026]</t>
        </r>
      </text>
    </comment>
    <comment ref="I26" authorId="0" shapeId="0" xr:uid="{557826BE-218F-4BE2-9A51-4C46DDB602B0}">
      <text>
        <r>
          <rPr>
            <sz val="9"/>
            <color indexed="81"/>
            <rFont val="Tahoma"/>
            <family val="2"/>
          </rPr>
          <t>1 task(s):
1. *** WC/LLC/335200004 - RIGHT CABIN EMERGENCY EGRESS LIGHTS PSU BATTERY ***
    [Due 12/08/2026]</t>
        </r>
      </text>
    </comment>
    <comment ref="J26" authorId="0" shapeId="0" xr:uid="{19F7D297-6928-4756-9965-FF9DBCF1FD9D}">
      <text>
        <r>
          <rPr>
            <sz val="9"/>
            <color indexed="81"/>
            <rFont val="Tahoma"/>
            <family val="2"/>
          </rPr>
          <t>1 task(s):
1. *** WC/LLC/335100001 - COCKPIT EMERGENCY EGRESS LIGHTS PSU BATTERY ***
    [Due 28/08/2026]</t>
        </r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<sst xmlns="http://schemas.openxmlformats.org/spreadsheetml/2006/main" count="13812" uniqueCount="2246">
  <si>
    <t>Forecast Settings</t>
  </si>
  <si>
    <t>Forecast end date</t>
  </si>
  <si>
    <t>Max aircraft slots</t>
  </si>
  <si>
    <t>Flying Hour Rates (per rotation week)</t>
  </si>
  <si>
    <t>Week 1</t>
  </si>
  <si>
    <t>Week 2</t>
  </si>
  <si>
    <t>Week 3</t>
  </si>
  <si>
    <t>HH (Airframe Hours)</t>
  </si>
  <si>
    <t>E1 (Engine 1 Hours)</t>
  </si>
  <si>
    <t>E2 (Engine 2 Hours)</t>
  </si>
  <si>
    <t>Rotation Cycle</t>
  </si>
  <si>
    <t>Flying weeks per cycle</t>
  </si>
  <si>
    <t>Total cycle length</t>
  </si>
  <si>
    <t>Reforecast Settings</t>
  </si>
  <si>
    <t>Skip reforecast if interval &gt;=</t>
  </si>
  <si>
    <t>hours</t>
  </si>
  <si>
    <t>% of interval</t>
  </si>
  <si>
    <t>Max extension allowance</t>
  </si>
  <si>
    <t>% (10 or 20)</t>
  </si>
  <si>
    <t>Aircraft Rotation Schedule</t>
  </si>
  <si>
    <t>Rotation Order &amp; Starting Position</t>
  </si>
  <si>
    <t>Tail Number</t>
  </si>
  <si>
    <t>Y</t>
  </si>
  <si>
    <t>Interval Type Code</t>
  </si>
  <si>
    <t>Life Remaining</t>
  </si>
  <si>
    <t>Task Code</t>
  </si>
  <si>
    <t>Task Sequence</t>
  </si>
  <si>
    <t>Task Description</t>
  </si>
  <si>
    <t>Serial</t>
  </si>
  <si>
    <t>Actual Interval</t>
  </si>
  <si>
    <t>Extension</t>
  </si>
  <si>
    <t>Projected Due Date</t>
  </si>
  <si>
    <t>End Item Serial</t>
  </si>
  <si>
    <t>Show?</t>
  </si>
  <si>
    <t>Total</t>
  </si>
  <si>
    <t>DA</t>
  </si>
  <si>
    <t>WC/DEN/ALT/MASTER</t>
  </si>
  <si>
    <t>TIME ABOVE 7000 FEET DENSITY ALTITUDE</t>
  </si>
  <si>
    <t>20000:00</t>
  </si>
  <si>
    <t>E1</t>
  </si>
  <si>
    <t>WC/PMP/7200006</t>
  </si>
  <si>
    <t>ENGINE HOT SECTION DIGITAL IMAGING INSPECTION</t>
  </si>
  <si>
    <t>WC/PMP/7200007</t>
  </si>
  <si>
    <t>ENGINE COMP SECT DIGITAL IMAGING INSPECTION</t>
  </si>
  <si>
    <t>WC/PMP/7200008</t>
  </si>
  <si>
    <t>ENGINE INLET FLANGE WELD AREA - EXAMINE</t>
  </si>
  <si>
    <t>WC/PMP/7200009</t>
  </si>
  <si>
    <t>ENGINE IPS BLOWER BRACKETS - EXAMINE</t>
  </si>
  <si>
    <t>WC/PMP/7200012</t>
  </si>
  <si>
    <t>IPS QUILL SHAFT DETAILED EXAMINATION</t>
  </si>
  <si>
    <t>WC/PMP/7310001</t>
  </si>
  <si>
    <t>ENGINE - REPLACE FUEL FILTER</t>
  </si>
  <si>
    <t>WC/PMP/7200005</t>
  </si>
  <si>
    <t>ENGINE COMBUSTOR BORESCOPE INSPECTION</t>
  </si>
  <si>
    <t>WC/PMP/7920001</t>
  </si>
  <si>
    <t>ENGINE - REPLACE OIL FILTER</t>
  </si>
  <si>
    <t>WC/PMP/7920002</t>
  </si>
  <si>
    <t>EXAMINE THE AGB CHIP COLLECTOR ASSEMBLY</t>
  </si>
  <si>
    <t>WC/PMP/7200013</t>
  </si>
  <si>
    <t>POST-MOD 0150 - INSPECT STG 1 PT BLADES FOR HGC</t>
  </si>
  <si>
    <t>WC/PMP/7200011</t>
  </si>
  <si>
    <t>IPS BLOWER BEARINGS - DETAILED EXAMINATION</t>
  </si>
  <si>
    <t>WC/OHL/731000001</t>
  </si>
  <si>
    <t>ENGINE FUEL NOZZLE ASSEMBLIES</t>
  </si>
  <si>
    <t>WC/ECU/HRS/10</t>
  </si>
  <si>
    <t>STAGE 1 POWER TURBINE DISC</t>
  </si>
  <si>
    <t>10000:00</t>
  </si>
  <si>
    <t>WC/ECU/HRS/11</t>
  </si>
  <si>
    <t>STAGE 2 POWER TURBINE DISC</t>
  </si>
  <si>
    <t>WC/ECU/HRS/12</t>
  </si>
  <si>
    <t>PT INTERSTAGE AIR SPECIAL METALLIC SEAL</t>
  </si>
  <si>
    <t>WC/T800/ECUHRS</t>
  </si>
  <si>
    <t>T800 ENGINE USAGE HOURS</t>
  </si>
  <si>
    <t>WC/ECU/HRS/02</t>
  </si>
  <si>
    <t>STAGE 1 GGT DISC</t>
  </si>
  <si>
    <t>WC/ECU/HRS/04</t>
  </si>
  <si>
    <t>STAGE 1 GGT COMPRESSOR ROTOR</t>
  </si>
  <si>
    <t>WC/ECU/HRS/05</t>
  </si>
  <si>
    <t>STAGE 2 GGT COMPRESSOR ROTOR</t>
  </si>
  <si>
    <t>WC/ECU/HRS/06</t>
  </si>
  <si>
    <t>GGT FWD SEAL PLATE AND COUPLING ASSY</t>
  </si>
  <si>
    <t>WC/ECU/HRS/07</t>
  </si>
  <si>
    <t>STAGE 1 AFT COVER PLATE GGT AIR SEAL</t>
  </si>
  <si>
    <t>WC/ECU/HRS/03</t>
  </si>
  <si>
    <t>STAGE 2 GGT DISC</t>
  </si>
  <si>
    <t>WC/ECU/HRS/08</t>
  </si>
  <si>
    <t>GGT INTERSTAGE ROTATING AIE SPECIAL METALLIC SEAL</t>
  </si>
  <si>
    <t>WC/ECU/HRS/09</t>
  </si>
  <si>
    <t>GGT SHOULDER SHAFT</t>
  </si>
  <si>
    <t>WC/ECU/HRS/13</t>
  </si>
  <si>
    <t>PT OUTPUT SHAFT ASSEMBLY</t>
  </si>
  <si>
    <t>WC/ECU/HRS/14</t>
  </si>
  <si>
    <t>PT STUB SHAFT</t>
  </si>
  <si>
    <t>WC/ECU/HRS/01</t>
  </si>
  <si>
    <t>IPS SCAVENGE BLOWER</t>
  </si>
  <si>
    <t>LX/ECU1/HOURS</t>
  </si>
  <si>
    <t>NO 1 ENGINE HOURS T800 MASTER LIFE</t>
  </si>
  <si>
    <t>WC/ECU/HRS/19</t>
  </si>
  <si>
    <t>ACCESSORY GEARBOX MODULE</t>
  </si>
  <si>
    <t>WC/ECU/HRS/20</t>
  </si>
  <si>
    <t>INLET PARTICLE SEPARATOR MODULE</t>
  </si>
  <si>
    <t>WC/ECU/HRS/21</t>
  </si>
  <si>
    <t>REDUCTION GEARBOX</t>
  </si>
  <si>
    <t>WC/ECU/HRS/16</t>
  </si>
  <si>
    <t>LUBE OIL PUMP ASSEMBLY</t>
  </si>
  <si>
    <t>WC/ECU/HRS/18</t>
  </si>
  <si>
    <t>PERMANENT MAGNET ALTERNATOR STATOR ASSEMBLY</t>
  </si>
  <si>
    <t>WC/ECU/HRS/17</t>
  </si>
  <si>
    <t>PNEUMATIC VALVE ASSEMBLY</t>
  </si>
  <si>
    <t>WC/ECU/HRS/22</t>
  </si>
  <si>
    <t>HYDRO MECHANICAL UNIT ENGINE USAGE HOURS</t>
  </si>
  <si>
    <t>WC/ECU/HRS/23</t>
  </si>
  <si>
    <t>HYDRO MECHANICAL UNIT-USAGE POST CONVERSION TO LH30607-01 STANDARD</t>
  </si>
  <si>
    <t>E2</t>
  </si>
  <si>
    <t>WC/PMP/7200013/1</t>
  </si>
  <si>
    <t>PRE-MOD 0150 - INSPECT STG 1 PT BLADES FOR HGC</t>
  </si>
  <si>
    <t>LX/ECU2/HOURS</t>
  </si>
  <si>
    <t>NO 2 ENGINE HOURS T800 MASTER LIFE</t>
  </si>
  <si>
    <t>HH</t>
  </si>
  <si>
    <t>WC/PMP/7100006</t>
  </si>
  <si>
    <t>TEST FLIGHT - PPI CHECK</t>
  </si>
  <si>
    <t>WCR0180PTA/1</t>
  </si>
  <si>
    <t>INSPECTION OF THE AIRFRAME TO TAILPLANE ATTACHMENT LUGS</t>
  </si>
  <si>
    <t>WC/TVM/1800001</t>
  </si>
  <si>
    <t>TRANSMISSION VIBRATION MONITORING</t>
  </si>
  <si>
    <t>WC/PMP/7100009</t>
  </si>
  <si>
    <t>PPI CHECK ANALYSIS</t>
  </si>
  <si>
    <t>TAIL ROTOR GEARBOX MAG PLUG - EXAMINE</t>
  </si>
  <si>
    <t>TAIL ROTOR GEARBOX - OIL SAMPLE</t>
  </si>
  <si>
    <t>ADF-H</t>
  </si>
  <si>
    <t>WC/SRA/1800001</t>
  </si>
  <si>
    <t>Assess MPGS Small Rotor Adjustments from HUMS RTB Vib Data iaw 2(NA) SPS GO-04 HUMS</t>
  </si>
  <si>
    <t>WC/PMP/2511012</t>
  </si>
  <si>
    <t>CREW SEATS - FUNCTION TEST</t>
  </si>
  <si>
    <t>WC/PMP/5210006</t>
  </si>
  <si>
    <t>CABIN DOORS - EXAMINE</t>
  </si>
  <si>
    <t>WC/PMP/6510002</t>
  </si>
  <si>
    <t>DRIVE SHAFTS INTERMEDIATE BEARINGS - EXAMINE</t>
  </si>
  <si>
    <t>WC/PMP/5511001</t>
  </si>
  <si>
    <t>TAILPLANE LOWER ATTACH BRACKETS - EXAMINE</t>
  </si>
  <si>
    <t>WC/PMP/6220004</t>
  </si>
  <si>
    <t>MRH MAST ASSEMBLY - EXAMINE</t>
  </si>
  <si>
    <t>WC/PMP/6220010</t>
  </si>
  <si>
    <t>MRH BLADE SLEEVES - EXAMINE</t>
  </si>
  <si>
    <t>WC/PMP/5210007</t>
  </si>
  <si>
    <t>CABIN DOOR WINDOWS - JETTISON CHECK</t>
  </si>
  <si>
    <t>WC/PMP/5210008</t>
  </si>
  <si>
    <t>WC/PMP/6322001</t>
  </si>
  <si>
    <t>DO A CHECK OF THE MRGB NO2 ACCESSORY FREEWHEEL</t>
  </si>
  <si>
    <t>WC/PMP/6420002</t>
  </si>
  <si>
    <t>TAIL ROTOR HUB - EXAMINE</t>
  </si>
  <si>
    <t>WC/PMP/6210002</t>
  </si>
  <si>
    <t>MAIN ROTOR BLADES - EXAMINE</t>
  </si>
  <si>
    <t>WC/PMP/6210003/1</t>
  </si>
  <si>
    <t>MAIN ROTOR BLADE CUFF BOLT - TORQUE CHECK</t>
  </si>
  <si>
    <t>WC/PMP/2521003</t>
  </si>
  <si>
    <t>EXAMINE TROOP SEATS RESTRAINT SYSTEM</t>
  </si>
  <si>
    <t>WC/PMP/6220014</t>
  </si>
  <si>
    <t>PCR CERAMIC BEARING - IVE</t>
  </si>
  <si>
    <t>WC/PMP/2433004</t>
  </si>
  <si>
    <t>DC SYSTEM BATTERY</t>
  </si>
  <si>
    <t>WC/PMP/6320007</t>
  </si>
  <si>
    <t>MRGB MAG PLUG - EXAMINE</t>
  </si>
  <si>
    <t>WC/PMP/6320008</t>
  </si>
  <si>
    <t>MRGB OIL SYSTEM - SAMPLE</t>
  </si>
  <si>
    <t>WC/PMP/6521003</t>
  </si>
  <si>
    <t>IGB MAG PLUG - EXAMINE</t>
  </si>
  <si>
    <t>WC/PMP/6521004</t>
  </si>
  <si>
    <t>INTERMEDIATE GEARBOX - OIL SAMPLE</t>
  </si>
  <si>
    <t>WC/PMP/9933003</t>
  </si>
  <si>
    <t>MAWS ECU AND EOMS OPTICS(5 OFF) - BONDING CHECK</t>
  </si>
  <si>
    <t>WCR0197PTB</t>
  </si>
  <si>
    <t>INSPECTION OF PORT AND STBD 1815F CONTROL FRAME STRUCTURE FOR CRACKING</t>
  </si>
  <si>
    <t>WC/PMP/6410002</t>
  </si>
  <si>
    <t>TAIL ROTOR BLADES - EXAMINE</t>
  </si>
  <si>
    <t>WC/PMP/1810001</t>
  </si>
  <si>
    <t>BASIC A/C - VIBRATION MAINTENANCE CHECK</t>
  </si>
  <si>
    <t>WCR0050/2</t>
  </si>
  <si>
    <t>WILDCAT LEFT AND RIGHT COCKPIT DOOR HOLD OPEN STRUT</t>
  </si>
  <si>
    <t>WC/PMP/7200003</t>
  </si>
  <si>
    <t>ENGINE COMPRESSOR WASH</t>
  </si>
  <si>
    <t>WC/PMP/6210005</t>
  </si>
  <si>
    <t>MRB UPPER AND LOWER SURFACES - EXAMINE</t>
  </si>
  <si>
    <t>WC/MISC17</t>
  </si>
  <si>
    <t>HUMS MDTD MAINTENANCE PARTITION DOWNLOAD/ERASE</t>
  </si>
  <si>
    <t>WC/PMP/2810001</t>
  </si>
  <si>
    <t>FUEL SYSTEM - WATER/SEDIMENT CHECK</t>
  </si>
  <si>
    <t>WC/PMP/2910010</t>
  </si>
  <si>
    <t>NO1 HYDRAULIC SYSTEM</t>
  </si>
  <si>
    <t>WC/PMP/4300003</t>
  </si>
  <si>
    <t>CONFORMAL ANTENNA-CHECK TQ LOAD</t>
  </si>
  <si>
    <t>WC/PMP/5328003</t>
  </si>
  <si>
    <t>CABIN DOOR RAILS - EXAMINE</t>
  </si>
  <si>
    <t>WC/PMP/5340004</t>
  </si>
  <si>
    <t>ENGINE AIR INTAKE FAIRINGS - EXAMINE</t>
  </si>
  <si>
    <t>WC/PMP/5340008</t>
  </si>
  <si>
    <t>SCORCH GUARDS AND IRSF DUCTS</t>
  </si>
  <si>
    <t>WCR0007/1</t>
  </si>
  <si>
    <t>KY100 MTU 1,2 AND 3 MOUNTING TRAY CRACKING</t>
  </si>
  <si>
    <t>WC/PMP/6211001</t>
  </si>
  <si>
    <t>LPD INTENSIVE VISUAL EXAMINATION</t>
  </si>
  <si>
    <t>WC/PMP/6220007</t>
  </si>
  <si>
    <t>MRH PITCH CTRL RODS - DIMENSIONS CHECK</t>
  </si>
  <si>
    <t>WCR0185PTA</t>
  </si>
  <si>
    <t>TAILBOOM AND TAIL FIN STRUCTURAL FRAME CRACKING</t>
  </si>
  <si>
    <t>WC/PMP/3040004</t>
  </si>
  <si>
    <t>WINDSCREEN WIPER SYSTEM - OPERATION TESTS</t>
  </si>
  <si>
    <t>WC/PMP/6210004</t>
  </si>
  <si>
    <t>MRB ATTACHMENT PINS - LUBRICATE</t>
  </si>
  <si>
    <t>WCR0173/1</t>
  </si>
  <si>
    <t>LAG PLANE DAMPER TRUNNION ASSEMBLY DISPLACEMENT</t>
  </si>
  <si>
    <t>WC/OHL/673000101</t>
  </si>
  <si>
    <t>MAIN ROTOR ACTUATORS - RECONDITION</t>
  </si>
  <si>
    <t>WC/PMP/7860001</t>
  </si>
  <si>
    <t>PORT/STBD ECU INFRA RED SUPP EXHAUST DUCT ASSY</t>
  </si>
  <si>
    <t>WC/PMP/3210010</t>
  </si>
  <si>
    <t>MAIN LANDING GEAR LUBRICATION</t>
  </si>
  <si>
    <t>WC/PMP/3220010</t>
  </si>
  <si>
    <t>NOSE LANDING GEAR LUBRICATION</t>
  </si>
  <si>
    <t>WC/PMP/6720002</t>
  </si>
  <si>
    <t>IVE OF THE TAIL ROTOR CONTROL SYSTEM</t>
  </si>
  <si>
    <t>WCR0157/2</t>
  </si>
  <si>
    <t>FUSELAGE - PERIODIC INSPECTION OF THE BASIC AIRFRAME</t>
  </si>
  <si>
    <t>WC/PMP/6220006</t>
  </si>
  <si>
    <t>MRH SPIDER ASSEMBLY - EXAMINE</t>
  </si>
  <si>
    <t>WCR0185PTB</t>
  </si>
  <si>
    <t>WC/PMP/5210005/3</t>
  </si>
  <si>
    <t>COCKPIT DOORS - JETTISON CHECK (PRE-MOD W1054 ONLY)</t>
  </si>
  <si>
    <t>WC/PMP/6510003</t>
  </si>
  <si>
    <t>TRDS DRIVE FLANGE, SHAFTS, FLEX COUPLING - EXAMINE</t>
  </si>
  <si>
    <t>WC/PMP/6710003</t>
  </si>
  <si>
    <t>COLLECTIVE CONTROLS - DESIGN DATA/TOLERANCES CX</t>
  </si>
  <si>
    <t>WC/PMP/6720003</t>
  </si>
  <si>
    <t>TAIL ROTOR FLYING CONTROLS, YAW CONTROL ROD 8 EXAMINATION FOR CRACKING</t>
  </si>
  <si>
    <t>WCR0197PTC</t>
  </si>
  <si>
    <t>WC/LLC/630000068</t>
  </si>
  <si>
    <t>COVER ASSY MGB</t>
  </si>
  <si>
    <t>WC/LLC/630000069/1</t>
  </si>
  <si>
    <t>MAIN CASING MGB</t>
  </si>
  <si>
    <t>WC/PMP/3210003</t>
  </si>
  <si>
    <t>MAIN LANDING GEAR - EXAMINE AND LUBRICATE</t>
  </si>
  <si>
    <t>WC/PMP/3220003</t>
  </si>
  <si>
    <t>NOSE LANDING GEAR - EXAMINE AND LUBRICATE</t>
  </si>
  <si>
    <t>WCR0118/2</t>
  </si>
  <si>
    <t>INSPECTION OF AMPEP BEARING IN SPIDER CONTROL HOUSING</t>
  </si>
  <si>
    <t>WC/PMP/2521002</t>
  </si>
  <si>
    <t>TROOP SEATS - INTENSIVE VISUAL EXAMINATION</t>
  </si>
  <si>
    <t>WC/PMP/2511025</t>
  </si>
  <si>
    <t>VLEA - ADJUSTMENT VERIFICATION - DIMENSIONS CHECK</t>
  </si>
  <si>
    <t>WC/PMP/2511004</t>
  </si>
  <si>
    <t>CREW SEAT RESTRAINT SYS - INTENSIVE VISUAL EXAMINATION</t>
  </si>
  <si>
    <t>WC/OHL/8010000XX</t>
  </si>
  <si>
    <t>NO1 AND NO2 STARTER GENERATORS BRUSH CHECK</t>
  </si>
  <si>
    <t>WC/PMP/2511002</t>
  </si>
  <si>
    <t>CREW SEATS - INTENSIVE VISUAL EXAMINATION</t>
  </si>
  <si>
    <t>WC/PMP/2511006</t>
  </si>
  <si>
    <t>CREW SEAT CUSHIONS - GENERAL VISUAL EXAMINATION</t>
  </si>
  <si>
    <t>WC/PMP/6730002</t>
  </si>
  <si>
    <t>TRA - SPECIAL DETAILED EXAMINATION</t>
  </si>
  <si>
    <t>ZONAL INSPECTION - OPERATION 15</t>
  </si>
  <si>
    <t>WC/PMP/2161001</t>
  </si>
  <si>
    <t>HEATING PIPE (PRE-MOD W1015) - INTENSIVE VISUAL EXAMINATION</t>
  </si>
  <si>
    <t>WC/PMP/5240002</t>
  </si>
  <si>
    <t>ENGINE SERVICING PLATFORM LATCHES, HINGES AND SUPPORT- EXAMINE</t>
  </si>
  <si>
    <t>WC/PMP/5240003</t>
  </si>
  <si>
    <t>ENGINE SERVICING PLATFORM FIREWALL SEALS - EXAMINE</t>
  </si>
  <si>
    <t>WC/PMP/6320009</t>
  </si>
  <si>
    <t>ROTOR BRAKE - EXAMINE</t>
  </si>
  <si>
    <t>WCR0186PTC</t>
  </si>
  <si>
    <t>WINDSCREEN GLAZING FRAME STRUCTURAL INTEGRITY INSPECTIONS</t>
  </si>
  <si>
    <t>WC/MRH/OHL</t>
  </si>
  <si>
    <t>MRH OVERHAUL LIFE - COMBINED LYNX AND WILDCAT</t>
  </si>
  <si>
    <t>WC/PMP/5321007</t>
  </si>
  <si>
    <t>STN 1354A FRAME YAW CTRL MOUNT - EXAMINE</t>
  </si>
  <si>
    <t>WC/PMP/3412003</t>
  </si>
  <si>
    <t>PITOT AND STATIC SYSTEM PIPELINES - EXAMINE</t>
  </si>
  <si>
    <t>WC/PMP/3412005/A</t>
  </si>
  <si>
    <t>PITOT AND STATIC SYSTEMS DRAIN VALVES - EXAMINE</t>
  </si>
  <si>
    <t>WC/PMP/5319001</t>
  </si>
  <si>
    <t>CONTROL FRAME STRUCTURE - EXAMINE</t>
  </si>
  <si>
    <t>WC/PMP/5321001</t>
  </si>
  <si>
    <t>MAIN LIFT FRAME STUCTURE STN 406F FRAME - EXAMINE</t>
  </si>
  <si>
    <t>WC/PMP/5321004</t>
  </si>
  <si>
    <t>MAIN LIFT STRUCT STN 406F F/CTRL MNTS - EXAMINE</t>
  </si>
  <si>
    <t>WC/PMP/5323001</t>
  </si>
  <si>
    <t>NOSE U/C MOUNTING STRUCT STN 1815F - EXAMINE</t>
  </si>
  <si>
    <t>WC/PMP/5323003</t>
  </si>
  <si>
    <t>V560 LEFT AND RIGHT SHEARWEB BEAMS - EXAMINE</t>
  </si>
  <si>
    <t>WC/PMP/5328001</t>
  </si>
  <si>
    <t>WEAPONS SUPP STRUCT LFT AND RHT INTERNAL - EXAMINE</t>
  </si>
  <si>
    <t>WC/PMP/5331001</t>
  </si>
  <si>
    <t>REAR FUSELAGE UPPER LONGERON - EXAMINE</t>
  </si>
  <si>
    <t>WC/PMP/5331002</t>
  </si>
  <si>
    <t>STN 2437A YAW CTRL MOUNT STRUCTURE - EXAMINE</t>
  </si>
  <si>
    <t>WC/PMP/5333001</t>
  </si>
  <si>
    <t>TRANSITION FRAME STRUCTURE - EXAMINE</t>
  </si>
  <si>
    <t>WC/PMP/5334002</t>
  </si>
  <si>
    <t>TAILCONE FRAMES - EXAMINE</t>
  </si>
  <si>
    <t>WC/PMP/5334004</t>
  </si>
  <si>
    <t>IGB PLATFORM - EXAMINE</t>
  </si>
  <si>
    <t>WC/PMP/5334005</t>
  </si>
  <si>
    <t>TAILFIN ATTACHMENT STRUCTURE - EXAMINE</t>
  </si>
  <si>
    <t>WC/PMP/5334006</t>
  </si>
  <si>
    <t>TAILFIN SPARS - EXAMINE</t>
  </si>
  <si>
    <t>WC/PMP/5334008</t>
  </si>
  <si>
    <t>TAILFIN DIAPHRAM - EXAMINE</t>
  </si>
  <si>
    <t>WC/PMP/5334009</t>
  </si>
  <si>
    <t>TAILROTOR G/BOX PLATFORM - WXAMIN</t>
  </si>
  <si>
    <t>WC/PMP/5336001</t>
  </si>
  <si>
    <t>TAILPLANE ATTACHMENT STRUCTURE - EXAMINE</t>
  </si>
  <si>
    <t>WC/PMP/6210006</t>
  </si>
  <si>
    <t>MRB ATT/PINS, BUSHES, SLEEVE EXT BUSHES - EXAMINE</t>
  </si>
  <si>
    <t>WC/PMP/6510004</t>
  </si>
  <si>
    <t>TAIL ROTOR DRIVE SHAFTS - TORQUE CHECK</t>
  </si>
  <si>
    <t>WC/PMP/6710001</t>
  </si>
  <si>
    <t>ROTOR CTRL C/PIT AREA STN 3138F TO 1815F - EXAMINE</t>
  </si>
  <si>
    <t>WC/PMP/6710002</t>
  </si>
  <si>
    <t>ROTOR CTRL REAR CABIN STN 1815F TO STN 0 - EXAMINE</t>
  </si>
  <si>
    <t>WC/PMP/6420003</t>
  </si>
  <si>
    <t>TRH ULTASONIC INSPECTION</t>
  </si>
  <si>
    <t>WC/PMP/6210003</t>
  </si>
  <si>
    <t>MAIN ROTOR CUFF BOLT - TORQUE CHECK</t>
  </si>
  <si>
    <t>WC/PMP/6510005</t>
  </si>
  <si>
    <t>T/R DRIVE SHAFTS - CERAMIC BEARINGS - LUBRICATION</t>
  </si>
  <si>
    <t>WC/PMP/6320011</t>
  </si>
  <si>
    <t>MAIN ROTOR GEARBOX - EXAMINE</t>
  </si>
  <si>
    <t>WC/LLC/630000035/1</t>
  </si>
  <si>
    <t>TTO SHAFT LOWER</t>
  </si>
  <si>
    <t>WC/LLC/630000042P</t>
  </si>
  <si>
    <t>FREEWHEEL COUPLING, PORT</t>
  </si>
  <si>
    <t>WC/LLC/630000042S</t>
  </si>
  <si>
    <t>FREEWHEEL COUPLING, STBD</t>
  </si>
  <si>
    <t>WC/LLC/630000064P</t>
  </si>
  <si>
    <t>FREEWHEEL CAM ACCESSORY GEARBOX, PORT</t>
  </si>
  <si>
    <t>WC/LLC/630000065/1</t>
  </si>
  <si>
    <t>FREEWHEEL CAM PORT INPUT MGB</t>
  </si>
  <si>
    <t>WC/LLC/630000066</t>
  </si>
  <si>
    <t>FREEWHEEL CAM STBD INPUT MGB</t>
  </si>
  <si>
    <t>WC/OHL/632000001</t>
  </si>
  <si>
    <t>MAIN ROTOR GEARBOX - RECONDITION</t>
  </si>
  <si>
    <t>WC/PMP/6720001</t>
  </si>
  <si>
    <t>TAIL ROTOR CONTROLS - EXAMINE</t>
  </si>
  <si>
    <t>WC/PMP/3210005</t>
  </si>
  <si>
    <t>MAIN LANDING GEAR - EXAMINE (WHEELS REMOVED)</t>
  </si>
  <si>
    <t>WC/PMP/3220005</t>
  </si>
  <si>
    <t>NOSE LANDING GEAR - EXAMINE (WHEELS REMOVED)</t>
  </si>
  <si>
    <t>WC/OHL/642000001</t>
  </si>
  <si>
    <t>TAIL ROTOR HUB ASSEMBLY</t>
  </si>
  <si>
    <t>WC/PMP/6220009</t>
  </si>
  <si>
    <t>MRH HUB AND SLEEVE ASSEMBLY - EXAMINE</t>
  </si>
  <si>
    <t>ZONAL INSPECTION - OPERATION 3</t>
  </si>
  <si>
    <t>ZONAL INSPECTION - OPERATION 10</t>
  </si>
  <si>
    <t>ZONAL INSPECTION - OPERATION 11</t>
  </si>
  <si>
    <t>ZONAL INSPECTION - OPERATION 12</t>
  </si>
  <si>
    <t>WC/PMP/3210006</t>
  </si>
  <si>
    <t>LANDING GEAR STRUCT SIGNIFICANT ITEM 9 - EXAMINE</t>
  </si>
  <si>
    <t>WC/PMP/3220006</t>
  </si>
  <si>
    <t>LANDING GEAR STRUCT SIGNIFICANT ITEM 4 - EXAMINE</t>
  </si>
  <si>
    <t>WC/PMP/5321005</t>
  </si>
  <si>
    <t>ENGINE SUPPORT FRAME STN 1354A - EXAMINE</t>
  </si>
  <si>
    <t>WC/PMP/5325001</t>
  </si>
  <si>
    <t>SPONSON BOX FRAME AND U/C ATTACH PLATES - EXAMINE</t>
  </si>
  <si>
    <t>WC/PMP/5334001</t>
  </si>
  <si>
    <t>TAILCONE SIDE SKINS - EXAMINE</t>
  </si>
  <si>
    <t>WC/PMP/2810002</t>
  </si>
  <si>
    <t>FUEL SYSTEM TRANSFER PUMP - OPERATION TEST</t>
  </si>
  <si>
    <t>WC/PMP/5311001</t>
  </si>
  <si>
    <t>LWR FWD STRUCT V650 LEFT AND RIGHT BEAMS - EXAMINE</t>
  </si>
  <si>
    <t>WC/PMP/6710004</t>
  </si>
  <si>
    <t>COLLECTIVE CONTROLS - DIMENSION CHECK</t>
  </si>
  <si>
    <t>WC/PMP/5511003</t>
  </si>
  <si>
    <t>TAILPLANE COMPOSITE STRUCTURE - EXAMINE</t>
  </si>
  <si>
    <t>WC/OHL/622000001</t>
  </si>
  <si>
    <t>MAIN ROTOR HEAD AND SPIDER ASSEMBLY</t>
  </si>
  <si>
    <t>WC/PMP/5043018/1</t>
  </si>
  <si>
    <t>RESCUE HOIST - DORMANT FAILURE CHECK</t>
  </si>
  <si>
    <t>ZONAL INSPECTION - OPERATION 2</t>
  </si>
  <si>
    <t>ZONAL INSPECTION - OPERATION 4</t>
  </si>
  <si>
    <t>ZONAL INSPECTION - OPERATION 7</t>
  </si>
  <si>
    <t>ZONAL INSPECTION - OPERATION 8</t>
  </si>
  <si>
    <t>ZONAL INSPECTION - OPERATION 9</t>
  </si>
  <si>
    <t>ZONAL INSPECTION - OPERATION 13</t>
  </si>
  <si>
    <t>ZONAL INSPECTION - OPERATION 14</t>
  </si>
  <si>
    <t>ZONAL INSPECTION - OPERATION 16</t>
  </si>
  <si>
    <t>ZONAL INSPECTION - OPERATION 18</t>
  </si>
  <si>
    <t>WC/PMP/6510001</t>
  </si>
  <si>
    <t>DRIVE SHAFTS I/BEARING SUPPORT - EXAMINE</t>
  </si>
  <si>
    <t>WC/PMP/5321006</t>
  </si>
  <si>
    <t>ENGINE MOUNTING BEAMS - EXAMINE</t>
  </si>
  <si>
    <t>WC/OHL/8010000XX/1</t>
  </si>
  <si>
    <t>NO1 AND NO2 STARTER GENERATOR - RECONDITION</t>
  </si>
  <si>
    <t>WC/PMP/0830001/1</t>
  </si>
  <si>
    <t>CHECK WEIGH THE AIRCRAFT</t>
  </si>
  <si>
    <t>WC/LLC/640000012</t>
  </si>
  <si>
    <t>HUB DISC ASSY</t>
  </si>
  <si>
    <t>ZONAL INSPECTION - OPERATION 6</t>
  </si>
  <si>
    <t>WC/PMP/6220012</t>
  </si>
  <si>
    <t>MRH BLADE SLEEVE INNER SPACER - EXAMINE</t>
  </si>
  <si>
    <t>WC/OHL/652100001</t>
  </si>
  <si>
    <t>INTERMEDIATE GEARBOX - RECONDITION</t>
  </si>
  <si>
    <t>WC/PMP/2900001/1</t>
  </si>
  <si>
    <t>HYDRAULIC POWER FLUID WATER AND PARTICLE CONTAM - SAMPLE</t>
  </si>
  <si>
    <t>WC/LLC/290000009</t>
  </si>
  <si>
    <t>CHARGING VALVE END PLATE</t>
  </si>
  <si>
    <t>ZONAL INSPECTION - OPERATION 1</t>
  </si>
  <si>
    <t>ZONAL INSPECTION - OPERATION 5</t>
  </si>
  <si>
    <t>WC/PMP/2610001</t>
  </si>
  <si>
    <t>FIRE DETECTION - FUNCTION TESTS</t>
  </si>
  <si>
    <t>WC/PMP/2610002</t>
  </si>
  <si>
    <t>ENGINES FIRE DETECTION - EXAMINE</t>
  </si>
  <si>
    <t>WC/PMP/2620010</t>
  </si>
  <si>
    <t>FIRE PROTECTION - ENGINE BAY PIPES</t>
  </si>
  <si>
    <t>WC/PMP/2840001</t>
  </si>
  <si>
    <t>INDICATING SYSTEM - CALIBRATE</t>
  </si>
  <si>
    <t>WC/PMP/5311003</t>
  </si>
  <si>
    <t>LWR FWD STRUCT V560 LEFT AND RIGHT BEAMS - EXAMINE</t>
  </si>
  <si>
    <t>WC/PMP/6220008</t>
  </si>
  <si>
    <t>MRH DAMPER ATTACH BRACKETS - EXAMINE</t>
  </si>
  <si>
    <t>WC/LLC/530000055</t>
  </si>
  <si>
    <t>TAILFIN SPAR</t>
  </si>
  <si>
    <t>WC/LLC/320000001/1</t>
  </si>
  <si>
    <t>LH AND RH MAIN AXLES</t>
  </si>
  <si>
    <t>WC/LLC/320000002/1</t>
  </si>
  <si>
    <t>NOSE UNDERCARRIAGE AXLE</t>
  </si>
  <si>
    <t>WC/LLC/630000076</t>
  </si>
  <si>
    <t>BOLT BI-HEX VITAL - FATIGUE LIFE</t>
  </si>
  <si>
    <t>WC/LLC/630000077</t>
  </si>
  <si>
    <t>NUT BARREL - FATIGUE LIFE</t>
  </si>
  <si>
    <t>WC/LLC/620000045</t>
  </si>
  <si>
    <t>LORD TIE-BAR ASSEMBLY</t>
  </si>
  <si>
    <t>WC/LLC/630000061</t>
  </si>
  <si>
    <t>OIL COOLER FAN ASSEMBLY</t>
  </si>
  <si>
    <t>WC/OHL/673000205</t>
  </si>
  <si>
    <t>TAIL ROTOR ACTUATOR - RECONDITION</t>
  </si>
  <si>
    <t>ZONAL INSPECTION - OPERATION 20</t>
  </si>
  <si>
    <t>WC/LLC/630000038S</t>
  </si>
  <si>
    <t>INPUT SHAFT, STBD</t>
  </si>
  <si>
    <t>WC/LLC/630000038P</t>
  </si>
  <si>
    <t>INPUT SHAFT, PORT</t>
  </si>
  <si>
    <t>WC/LLC/620000003</t>
  </si>
  <si>
    <t>NUT CONTROL SPINDLE BRGS</t>
  </si>
  <si>
    <t>WC/OHL/652200001</t>
  </si>
  <si>
    <t>TAIL ROTOR GEARBOX - RECONDITION</t>
  </si>
  <si>
    <t>WC/LLC/620000006</t>
  </si>
  <si>
    <t>MRH GIMBAL RING SUB ASSEMBLY</t>
  </si>
  <si>
    <t>WC/LLC/650000036</t>
  </si>
  <si>
    <t>LOCKNUT ASSY (TR)</t>
  </si>
  <si>
    <t>WC/LLC/640000010/1</t>
  </si>
  <si>
    <t>TAIL ROTOR BLADE</t>
  </si>
  <si>
    <t>WC/LLC/630000041P</t>
  </si>
  <si>
    <t>HOUSING FREEWHEEL ROLLER, PORT</t>
  </si>
  <si>
    <t>WC/LLC/630000041S</t>
  </si>
  <si>
    <t>HOUSING FREEWHEEL ROLLER, STBD</t>
  </si>
  <si>
    <t>WC/LLC/630000064S</t>
  </si>
  <si>
    <t>FREEWHEEL CAM ACCESSORY GEARBOX, STBD</t>
  </si>
  <si>
    <t>WC/LLC/640000009</t>
  </si>
  <si>
    <t>BOLT   SPH BRG ATTCHMNT</t>
  </si>
  <si>
    <t>WC/LLC/620000015</t>
  </si>
  <si>
    <t>COVER SPIDER ASSY</t>
  </si>
  <si>
    <t>WC/LLC/620000046</t>
  </si>
  <si>
    <t>BOLT DAMPER BRACKET</t>
  </si>
  <si>
    <t>WC/LLC/650000001/OP</t>
  </si>
  <si>
    <t>IGB OUTPUT COUPLING FLANGE</t>
  </si>
  <si>
    <t>18500:00</t>
  </si>
  <si>
    <t>WC/LLC/650000001/IP</t>
  </si>
  <si>
    <t>IGB INPUT COUPLING FLANGE</t>
  </si>
  <si>
    <t>WC/LLC/640000016</t>
  </si>
  <si>
    <t>BOLT BLADE ATTACHMENT</t>
  </si>
  <si>
    <t>WC/LLC/530000011</t>
  </si>
  <si>
    <t>CENTRE FUSE - 1815F BULKHEAD</t>
  </si>
  <si>
    <t>WC/OHL/2420000XX</t>
  </si>
  <si>
    <t>NO 1 AND NO 2 AC GENERATOR OVERHAUL LIFE</t>
  </si>
  <si>
    <t>WC/PMP/7100008/1</t>
  </si>
  <si>
    <t>ENGINE MOUNTS - EXAMINE</t>
  </si>
  <si>
    <t>WC/LLC/710000002/PT</t>
  </si>
  <si>
    <t>ENGINE MOUNTING LINK ASSEMBLY PORT INBOARD</t>
  </si>
  <si>
    <t>WC/LLC/710000002/ST</t>
  </si>
  <si>
    <t>ENGINE MOUNTING LINK ASSEMBLY STBD INBOARD</t>
  </si>
  <si>
    <t>WC/LLC/650000029</t>
  </si>
  <si>
    <t>ACTUATOR BOLT</t>
  </si>
  <si>
    <t>WC/LLC/710000001/PT</t>
  </si>
  <si>
    <t>ENGINE MOUNTING LINK ASSEMBLY PORT OUTBOARD</t>
  </si>
  <si>
    <t>WC/LLC/710000001/ST</t>
  </si>
  <si>
    <t>ENGINE MOUNTING LINK ASSEMBLY STBD OUTBOARD</t>
  </si>
  <si>
    <t>WC/LLC/530000012</t>
  </si>
  <si>
    <t>CENTRE FUSELAGE WEAPON CARRIER SUPPORT STRUCTURES</t>
  </si>
  <si>
    <t>WC/LLC/530000013</t>
  </si>
  <si>
    <t>WC/LLC/530000014</t>
  </si>
  <si>
    <t>WC/LLC/530000015</t>
  </si>
  <si>
    <t>WC/LLC/530000016</t>
  </si>
  <si>
    <t>WC/LLC/530000017</t>
  </si>
  <si>
    <t>WC/LLC/530000018</t>
  </si>
  <si>
    <t>WC/LLC/530000019</t>
  </si>
  <si>
    <t>WC/LLC/530000020</t>
  </si>
  <si>
    <t>WC/LLC/530000021</t>
  </si>
  <si>
    <t>WC/LLC/530000063</t>
  </si>
  <si>
    <t>WEAPON CARRIER SUPPORT STRUCTURE</t>
  </si>
  <si>
    <t>WC/LLC/530000064</t>
  </si>
  <si>
    <t>WC/LLC/530000065</t>
  </si>
  <si>
    <t>WC/LLC/530000066</t>
  </si>
  <si>
    <t>WC/LLC/530000067</t>
  </si>
  <si>
    <t>WC/LLC/530000068</t>
  </si>
  <si>
    <t>WC/LLC/620000001</t>
  </si>
  <si>
    <t>SPIDER CONTROL ASSEMBLY BOLTS</t>
  </si>
  <si>
    <t>WC/LLC/620000024</t>
  </si>
  <si>
    <t>RING ASSEMBLY SUPPORT</t>
  </si>
  <si>
    <t>WC/LLC/630000032P</t>
  </si>
  <si>
    <t>INPUT FLANGE MAIN DRIVE, PORT</t>
  </si>
  <si>
    <t>WC/LLC/630000032S</t>
  </si>
  <si>
    <t>INPUT FLANGE MAIN DRIVE, STBD</t>
  </si>
  <si>
    <t>WC/LLC/640000013/LIFEX</t>
  </si>
  <si>
    <t>BEARING, ELASTOMERIC ASSEMBLY</t>
  </si>
  <si>
    <t>WC/LLC/630000059</t>
  </si>
  <si>
    <t>MOUNTING ASSY ENGINE</t>
  </si>
  <si>
    <t>WC/LLC/290000003</t>
  </si>
  <si>
    <t>ROTOR BRAKE MOUNTING BRACKET</t>
  </si>
  <si>
    <t>WC/LLC/290000001</t>
  </si>
  <si>
    <t>ROTOR BRAKE CALIPER</t>
  </si>
  <si>
    <t>WC/LLC/640000001</t>
  </si>
  <si>
    <t>BOLT, DAMPER ROD ADAPTER</t>
  </si>
  <si>
    <t>WC/LLC/640000018</t>
  </si>
  <si>
    <t>ADAPTER DAMPER ROD</t>
  </si>
  <si>
    <t>WC/LLC/620000023</t>
  </si>
  <si>
    <t>SLEEVE SPLINED</t>
  </si>
  <si>
    <t>WC/LLC/620000037</t>
  </si>
  <si>
    <t>DISC ASSEMBLY</t>
  </si>
  <si>
    <t>WC/LLC/530000038</t>
  </si>
  <si>
    <t>TAIL CONE SIDE SKIN</t>
  </si>
  <si>
    <t>WC/LLC/530000039</t>
  </si>
  <si>
    <t>WC/LLC/530000042</t>
  </si>
  <si>
    <t>WC/LLC/530000043</t>
  </si>
  <si>
    <t>TAIL CONE FRAME</t>
  </si>
  <si>
    <t>WC/LLC/530000044</t>
  </si>
  <si>
    <t>WC/LLC/530000045</t>
  </si>
  <si>
    <t>WC/LLC/530000046</t>
  </si>
  <si>
    <t>WC/LLC/530000047</t>
  </si>
  <si>
    <t>WC/LLC/530000048</t>
  </si>
  <si>
    <t>WC/LLC/530000049</t>
  </si>
  <si>
    <t>INTERMEDIATE GEARBOX PLATFORM</t>
  </si>
  <si>
    <t>WC/LLC/530000050</t>
  </si>
  <si>
    <t>DECK UPPER AFT</t>
  </si>
  <si>
    <t>WC/LLC/530000057</t>
  </si>
  <si>
    <t>TAIL ROTOR GEARBOX PLATFORM</t>
  </si>
  <si>
    <t>WC/LLC/620000047</t>
  </si>
  <si>
    <t>BEARING SPIDER ASSY</t>
  </si>
  <si>
    <t>WC/LLC/630000067</t>
  </si>
  <si>
    <t>OUTPUT SHAFT ASSY MGB</t>
  </si>
  <si>
    <t>WC/LLC/630000073</t>
  </si>
  <si>
    <t>ASSY LOCKNUT OUTPUT SHAFT MGB</t>
  </si>
  <si>
    <t>WC/LLC/290000002</t>
  </si>
  <si>
    <t>ROTOR BRAKE DISC</t>
  </si>
  <si>
    <t>WC/LLC/620000012</t>
  </si>
  <si>
    <t>COMPOSITE MAIN ROTOR BLADE</t>
  </si>
  <si>
    <t>WC/LLC/620000036</t>
  </si>
  <si>
    <t>MAIN ROTOR HEAD MAST</t>
  </si>
  <si>
    <t>17375:00</t>
  </si>
  <si>
    <t>WC/LLC/620000034/02</t>
  </si>
  <si>
    <t>MAIN ROTOR HEAD ATTACHMENT BOLT</t>
  </si>
  <si>
    <t>WC/LLC/290000017</t>
  </si>
  <si>
    <t>PARKING BRAKE CABLE ASSEMBLY</t>
  </si>
  <si>
    <t>WC/LLC/670000030</t>
  </si>
  <si>
    <t>FAIREY SERVO JACK</t>
  </si>
  <si>
    <t>WC/LLC/620000019</t>
  </si>
  <si>
    <t>SPINDLE SUB-ASSY</t>
  </si>
  <si>
    <t>WC/LLC/530000059</t>
  </si>
  <si>
    <t>CENTRE FUSELAGE SPAR FWD SPONSON</t>
  </si>
  <si>
    <t>WC/LLC/530000060</t>
  </si>
  <si>
    <t>CENTRE FUSELAGE SPAR AFT SPONSON</t>
  </si>
  <si>
    <t>WC/LLC/530000069</t>
  </si>
  <si>
    <t>RIB OUTBOARD END PLATE SPONSON</t>
  </si>
  <si>
    <t>WC/LLC/530000070</t>
  </si>
  <si>
    <t>WC/LLC/650000025/1</t>
  </si>
  <si>
    <t>INPUT HOUSING (TRGB)</t>
  </si>
  <si>
    <t>WC/LLC/620000040</t>
  </si>
  <si>
    <t>SLEEVE ASSEMBLY</t>
  </si>
  <si>
    <t>WC/LLC/620000002</t>
  </si>
  <si>
    <t>BOLT HEAD ASSY MAIN ROTOR</t>
  </si>
  <si>
    <t>18300:00</t>
  </si>
  <si>
    <t>WC/LLC/650000021</t>
  </si>
  <si>
    <t xml:space="preserve">CENTRE HSG ASSY (IGB) </t>
  </si>
  <si>
    <t>WC/LLC/650000007/02</t>
  </si>
  <si>
    <t>TAIL ROTOR DRIVE SHAFT NO 5</t>
  </si>
  <si>
    <t>WC/LLC/650000026</t>
  </si>
  <si>
    <t>OUTPUT HOUSING (TRGB)</t>
  </si>
  <si>
    <t>WC/LLC/650000028</t>
  </si>
  <si>
    <t>CENTRE HOUSING ASSY (TRGB)</t>
  </si>
  <si>
    <t>WC/LLC/640000008</t>
  </si>
  <si>
    <t>BOLT   DAMPER</t>
  </si>
  <si>
    <t>WC/LLC/640000014</t>
  </si>
  <si>
    <t>DAMPER ELASTO LAG ASSY</t>
  </si>
  <si>
    <t>WC/LLC/640000019</t>
  </si>
  <si>
    <t>DAMPER ROD CONNECTING BOLT</t>
  </si>
  <si>
    <t>LK0591</t>
  </si>
  <si>
    <t>WC/LLC/630000001</t>
  </si>
  <si>
    <t>OIL COOLER ASSEMBLY</t>
  </si>
  <si>
    <t>WC/LLC/640000015</t>
  </si>
  <si>
    <t>PITCH BEAM</t>
  </si>
  <si>
    <t>WC/LLC/620000051</t>
  </si>
  <si>
    <t>DAMPER AND EXTENSION TUBE ASSY</t>
  </si>
  <si>
    <t>16000:00</t>
  </si>
  <si>
    <t>WC/LLC/620000010</t>
  </si>
  <si>
    <t>MAIN ROTOR BLADE ATTACHMENT PIN</t>
  </si>
  <si>
    <t>WC/LLC/3200000XX/1</t>
  </si>
  <si>
    <t>MAIN AND NOSE UNDERCARRIAGE OLEOS</t>
  </si>
  <si>
    <t>11300:00</t>
  </si>
  <si>
    <t>WC/LLC/290000016</t>
  </si>
  <si>
    <t>BRAKE CONTROL VALVE ASSEMBLY</t>
  </si>
  <si>
    <t>12000:00</t>
  </si>
  <si>
    <t>WC/LLC/290000018/LT</t>
  </si>
  <si>
    <t>LEFT BRAKE MASTER CYLINDER</t>
  </si>
  <si>
    <t>WC/LLC/290000018/RT</t>
  </si>
  <si>
    <t>RIGHT BRAKE MASTER CYCLINDER</t>
  </si>
  <si>
    <t>WC/LLC/290000019/LT</t>
  </si>
  <si>
    <t>LEFT CAPACITY ABSORBER</t>
  </si>
  <si>
    <t>WC/LLC/290000019/RT</t>
  </si>
  <si>
    <t>RIGHT CAPACITY ABSORBER</t>
  </si>
  <si>
    <t>WC/LLC/530000002</t>
  </si>
  <si>
    <t>FWD FUSELAGE V560 SHEAR WEB</t>
  </si>
  <si>
    <t>WC/LLC/530000003</t>
  </si>
  <si>
    <t>WC/LLC/530000006</t>
  </si>
  <si>
    <t>FWD FUSELAGE V355 SHEAR WEB - LH</t>
  </si>
  <si>
    <t>WC/LLC/530000007</t>
  </si>
  <si>
    <t>FWD FUSELAGE V355 SHEAR WEB -RH</t>
  </si>
  <si>
    <t>WC/LLC/530000010</t>
  </si>
  <si>
    <t>FWD FUSE - CONTROL FRAME</t>
  </si>
  <si>
    <t>WC/LLC/530000022</t>
  </si>
  <si>
    <t>CENTRE FUSELAGE V560 SHEAR WEBS</t>
  </si>
  <si>
    <t>WC/LLC/530000023</t>
  </si>
  <si>
    <t>CENTRE FUSELAGE MAIN BEAM ASSEMBLY 420A</t>
  </si>
  <si>
    <t>WC/LLC/530000024</t>
  </si>
  <si>
    <t>WC/LLC/530000025</t>
  </si>
  <si>
    <t>CENTRE FUSELAGE FRAME 406F</t>
  </si>
  <si>
    <t>WC/LLC/530000026</t>
  </si>
  <si>
    <t>WC/LLC/530000029</t>
  </si>
  <si>
    <t>CENTRE FUSELAGE ENGINE SUPPORT FRAME</t>
  </si>
  <si>
    <t>WC/LLC/530000030/1</t>
  </si>
  <si>
    <t>TRANSITION FRAME - POST MOD L2737</t>
  </si>
  <si>
    <t>WC/LLC/530000031</t>
  </si>
  <si>
    <t>REAR FUSELAGE PORT UPPER LONGERON</t>
  </si>
  <si>
    <t>WC/LLC/530000033</t>
  </si>
  <si>
    <t>REAR F/LAGE UP DECK MACHINING/UP PORT SIDE SKIN</t>
  </si>
  <si>
    <t>WC/LLC/530000034/1</t>
  </si>
  <si>
    <t>TAILPLANE ATTACHMENT STRUCTURE - POST MOD W1001</t>
  </si>
  <si>
    <t>WC/LLC/530000051</t>
  </si>
  <si>
    <t>CENTRE FUSELAGE SIDE PLATES</t>
  </si>
  <si>
    <t>WC/LLC/530000052</t>
  </si>
  <si>
    <t>CENTRE FUSELAGE BEAM ASSEMBLY SUPPORT MGB</t>
  </si>
  <si>
    <t>WC/LLC/530000053</t>
  </si>
  <si>
    <t>WC/LLC/530000056</t>
  </si>
  <si>
    <t>WC/LLC/530000058</t>
  </si>
  <si>
    <t>TAILFIN DIAPHRAGMS</t>
  </si>
  <si>
    <t>WC/LLC/530000071</t>
  </si>
  <si>
    <t>YAW LEVER 5 MOUNT</t>
  </si>
  <si>
    <t>WC/LLC/530000072</t>
  </si>
  <si>
    <t>TRANSITION FRAME (PLATE)</t>
  </si>
  <si>
    <t>WC/LLC/530000073</t>
  </si>
  <si>
    <t>WILDCAT</t>
  </si>
  <si>
    <t>MASTER LIFE TO RECORD FLYING HOURS</t>
  </si>
  <si>
    <t>WC/LLC/320000006/1</t>
  </si>
  <si>
    <t>LH AND RH MAIN BRAKE ASSEMBLY</t>
  </si>
  <si>
    <t>WC/LLC/530000001</t>
  </si>
  <si>
    <t>ENGINE MOUNTING BEAM</t>
  </si>
  <si>
    <t>WC/LLC/650000037/02</t>
  </si>
  <si>
    <t>NO.2,3,4 TAIL DRIVESHAFT</t>
  </si>
  <si>
    <t>WC/LLC/630000039S</t>
  </si>
  <si>
    <t>GEAR SPUR, STBD</t>
  </si>
  <si>
    <t>WC/LLC/670000034</t>
  </si>
  <si>
    <t>TAIL ROTOR ACTUATOR</t>
  </si>
  <si>
    <t>WC/LLC/630000049P</t>
  </si>
  <si>
    <t>FLANGE GEARBOX COUPLING, PORT</t>
  </si>
  <si>
    <t>WC/LLC/630000049S</t>
  </si>
  <si>
    <t>FLANGE GEARBOX COUPLING, STBD</t>
  </si>
  <si>
    <t>WC/LLC/320000005/1</t>
  </si>
  <si>
    <t>LH AND RH MAIN WHEEL</t>
  </si>
  <si>
    <t>WC/LLC/630000063</t>
  </si>
  <si>
    <t>TTO HOUSING</t>
  </si>
  <si>
    <t>WC/LLC/630000051</t>
  </si>
  <si>
    <t>ERGB OUTPUT SHAFT</t>
  </si>
  <si>
    <t>WC/LLC/630000048</t>
  </si>
  <si>
    <t>FLANGE COUPLING ASSY</t>
  </si>
  <si>
    <t>WC/LLC/630000050</t>
  </si>
  <si>
    <t>FLANGE ENGINE COUPLING</t>
  </si>
  <si>
    <t>WC/LLC/650000014</t>
  </si>
  <si>
    <t>INPUT PINION (TGB)</t>
  </si>
  <si>
    <t>WC/LLC/620000048</t>
  </si>
  <si>
    <t>BOLT (WVB207)</t>
  </si>
  <si>
    <t>WC/LLC/620000049</t>
  </si>
  <si>
    <t>BOLT (WVB208)</t>
  </si>
  <si>
    <t>WC/LLC/620000050</t>
  </si>
  <si>
    <t>BOLT (WVB317)</t>
  </si>
  <si>
    <t>WC/LLC/290000004</t>
  </si>
  <si>
    <t>ROTOR BRAKE MANIFOLD ASSEMBLY</t>
  </si>
  <si>
    <t>19000:00</t>
  </si>
  <si>
    <t>WC/LLC/290000005</t>
  </si>
  <si>
    <t>HYD MANIFOLD ASSEMBLY ( NO1 AND ANCILLARY)</t>
  </si>
  <si>
    <t>WC/LLC/290000006</t>
  </si>
  <si>
    <t>COMMOM MANIFOLD ASSEMBLY (NO1 AND NO3)</t>
  </si>
  <si>
    <t>WC/LLC/290000007</t>
  </si>
  <si>
    <t>HYD MANIFOLD ASSEMBLY NO2</t>
  </si>
  <si>
    <t>WC/LLC/290000008</t>
  </si>
  <si>
    <t>COMMON MANIFOLD ASSEMBLY NO2</t>
  </si>
  <si>
    <t>WC/LLC/620000033</t>
  </si>
  <si>
    <t>PIN. TIE BAR INBOARD/OUTBOARD</t>
  </si>
  <si>
    <t>WC/LLC/620000021</t>
  </si>
  <si>
    <t>NUT SPIDER CONTROL</t>
  </si>
  <si>
    <t>WC/LLC/290000011</t>
  </si>
  <si>
    <t>ANCILLIARY MANIFOLD ASSEMBLY</t>
  </si>
  <si>
    <t>WC/LLC/290000013</t>
  </si>
  <si>
    <t>PORT MANIFOLD LETTER BOX</t>
  </si>
  <si>
    <t>WC/LLC/290000014</t>
  </si>
  <si>
    <t>STBD MANIFOLD LETTER BOX</t>
  </si>
  <si>
    <t>BEARING HSG ASSY SPIDER</t>
  </si>
  <si>
    <t>9A/EEC/RPO</t>
  </si>
  <si>
    <t>ELECTRONIC ECU CONTROL</t>
  </si>
  <si>
    <t>WC/LLC/670000017-29</t>
  </si>
  <si>
    <t>FLYING CONTOL BOLTS</t>
  </si>
  <si>
    <t>WC/LLC/620000014/BK</t>
  </si>
  <si>
    <t>SPIDER CONTROL ARM</t>
  </si>
  <si>
    <t>WC/LLC/620000014/BL</t>
  </si>
  <si>
    <t>WC/LLC/620000014/RD</t>
  </si>
  <si>
    <t>WC/LLC/620000014/YL</t>
  </si>
  <si>
    <t>WC/LLC/620000011</t>
  </si>
  <si>
    <t>RING ASSEMBLY SPLINED</t>
  </si>
  <si>
    <t>WC/LLC/650000012</t>
  </si>
  <si>
    <t xml:space="preserve">DRIVE FLANGE (ROTOR BRAKE) </t>
  </si>
  <si>
    <t>WC/LLC/290000010/1</t>
  </si>
  <si>
    <t>NO 1 PRESSURE RELIEF VALVE ASSEMBLY</t>
  </si>
  <si>
    <t>WC/LLC/650000005</t>
  </si>
  <si>
    <t>DRIVE FLANGE ASSY (ROTOR BRAKE)</t>
  </si>
  <si>
    <t>WC/LLC/650000008</t>
  </si>
  <si>
    <t>SHAFT BOLTS ASSY</t>
  </si>
  <si>
    <t>WC/LLC/650000009</t>
  </si>
  <si>
    <t>WC/LLC/650000010</t>
  </si>
  <si>
    <t>WC/LLC/640000002</t>
  </si>
  <si>
    <t>BALL AND SOCKET ASSY (RH)</t>
  </si>
  <si>
    <t>WC/LLC/640000003</t>
  </si>
  <si>
    <t>BALL AND SOCKET ASSY (LH)</t>
  </si>
  <si>
    <t>WC/LLC/640000024</t>
  </si>
  <si>
    <t>SCREWED ADJUSTER</t>
  </si>
  <si>
    <t>WC/LLC/290000010/2</t>
  </si>
  <si>
    <t>NO2 PRESSURE RELIEF VALVE ASSEMBLY</t>
  </si>
  <si>
    <t>WC/LLC/670000002P</t>
  </si>
  <si>
    <t>CONTROL ROD ASSEMBLY - PORT</t>
  </si>
  <si>
    <t>WC/LLC/670000002S</t>
  </si>
  <si>
    <t>CONTROL ROD ASSEMBLY - STBD</t>
  </si>
  <si>
    <t>WC/LLC/670000001</t>
  </si>
  <si>
    <t>SUB ASSY FORKED LINK</t>
  </si>
  <si>
    <t>WC/LLC/670000003</t>
  </si>
  <si>
    <t>LINK SUB ASSY COLL CONTROL</t>
  </si>
  <si>
    <t>WC/LLC/670000004</t>
  </si>
  <si>
    <t>BRACKET ANCHOR</t>
  </si>
  <si>
    <t>WC/LLC/670000006</t>
  </si>
  <si>
    <t>LEVER SUB ASSY COLL.JACK</t>
  </si>
  <si>
    <t>WC/LLC/670000008</t>
  </si>
  <si>
    <t>BEAM LEVER, COLL</t>
  </si>
  <si>
    <t>WC/LLC/670000009</t>
  </si>
  <si>
    <t>BRACKET</t>
  </si>
  <si>
    <t>WC/LLC/670000013</t>
  </si>
  <si>
    <t>15000:00</t>
  </si>
  <si>
    <t>WC/LLC/670000015</t>
  </si>
  <si>
    <t>LEVER SUB ASSY F/A</t>
  </si>
  <si>
    <t>WC/LLC/630000015</t>
  </si>
  <si>
    <t>PINION BEVEL (TTO)</t>
  </si>
  <si>
    <t>WC/LLC/640000017</t>
  </si>
  <si>
    <t>LOCKNUT CONTROL/DAMPER ROD</t>
  </si>
  <si>
    <t>WC/LLC/630000010</t>
  </si>
  <si>
    <t>PINION INPUT LH</t>
  </si>
  <si>
    <t>WC/LLC/630000037P</t>
  </si>
  <si>
    <t>WHEEL SPIRAL BEVEL, PORT</t>
  </si>
  <si>
    <t>WC/LLC/630000037S</t>
  </si>
  <si>
    <t>WHEEL SPIRAL BEVEL, STBD</t>
  </si>
  <si>
    <t>WC/LLC/630000039P</t>
  </si>
  <si>
    <t>GEAR SPUR, PORT</t>
  </si>
  <si>
    <t>WC/LLC/630000024</t>
  </si>
  <si>
    <t>TTO DRIVE FLANGE</t>
  </si>
  <si>
    <t>WC/LLC/630000034</t>
  </si>
  <si>
    <t>TRANSFER WHEEL</t>
  </si>
  <si>
    <t>WC/LLC/630000039T</t>
  </si>
  <si>
    <t>GEAR SPUR, TTO</t>
  </si>
  <si>
    <t>WC/LLC/630000062P</t>
  </si>
  <si>
    <t>QUILL SHAFT, PORT</t>
  </si>
  <si>
    <t>WC/LLC/630000062S</t>
  </si>
  <si>
    <t>QUILL SHAFT, STBD</t>
  </si>
  <si>
    <t>WC/LLC/630000062T</t>
  </si>
  <si>
    <t>QUILL SHAFT, TTO</t>
  </si>
  <si>
    <t>WC/LLC/630000016</t>
  </si>
  <si>
    <t>WHEEL BEVEL (TTO)</t>
  </si>
  <si>
    <t>13800:00</t>
  </si>
  <si>
    <t>WC/LLC/650000015</t>
  </si>
  <si>
    <t>OUTPUT GEAR (TGB)</t>
  </si>
  <si>
    <t>17700:00</t>
  </si>
  <si>
    <t>WC/LLC/620000032</t>
  </si>
  <si>
    <t>BLADE HORN ASSEMBLY</t>
  </si>
  <si>
    <t>WC/LLC/650000016</t>
  </si>
  <si>
    <t>INPUT FLANGE (TGB)</t>
  </si>
  <si>
    <t>WC/LLC/650000032</t>
  </si>
  <si>
    <t>SHAFT OUTPUT (TRGB)</t>
  </si>
  <si>
    <t>WC/LLC/650000034</t>
  </si>
  <si>
    <t>ACTUATOR SHAFT SUB ASSY (TRGB)</t>
  </si>
  <si>
    <t>LX/TRD/RPO/1</t>
  </si>
  <si>
    <t>IPT RECORD PURPOSES</t>
  </si>
  <si>
    <t>WC/LLC/620000032/1</t>
  </si>
  <si>
    <t>BLADE HORN ASSY WRI/N</t>
  </si>
  <si>
    <t>WC/LLC/620000009</t>
  </si>
  <si>
    <t>MRH TRUNNION ASSEMBLIES</t>
  </si>
  <si>
    <t>WC/LLC/650000017</t>
  </si>
  <si>
    <t xml:space="preserve">INPUT PINION (IGB) </t>
  </si>
  <si>
    <t>12900:00</t>
  </si>
  <si>
    <t>WC/LLC/650000004</t>
  </si>
  <si>
    <t>GEAR OUTPUT (IGB)</t>
  </si>
  <si>
    <t>WC/LLC/650000002</t>
  </si>
  <si>
    <t>OUTPUT HSG SUB ASSY (IGB)</t>
  </si>
  <si>
    <t>WC/LLC/650000019</t>
  </si>
  <si>
    <t>INPUT HOUSING SUB ASSY (IGB)</t>
  </si>
  <si>
    <t>WC/LLC/620000029</t>
  </si>
  <si>
    <t>MRH PITCH CHANGE ROD</t>
  </si>
  <si>
    <t>WC/LLC/630000070</t>
  </si>
  <si>
    <t>PINION INVOLUTE PORT MGB</t>
  </si>
  <si>
    <t>WC/LLC/630000071</t>
  </si>
  <si>
    <t>PINION INVOLUTE STBD MGB</t>
  </si>
  <si>
    <t>WC/LLC/630000072</t>
  </si>
  <si>
    <t>PINION INVOLUTE AFT MGB</t>
  </si>
  <si>
    <t>WC/LLC/620000039</t>
  </si>
  <si>
    <t>BOLT   HUB DISC ASSY</t>
  </si>
  <si>
    <t>WC/LLC/620000022</t>
  </si>
  <si>
    <t>MRH BLADE AND DAMPER BOLT</t>
  </si>
  <si>
    <t>WC/LLC/630000047</t>
  </si>
  <si>
    <t>GIMBAL RING</t>
  </si>
  <si>
    <t>WC/LLC/640000005</t>
  </si>
  <si>
    <t>DAMPER CONNECTING ROD ASSY</t>
  </si>
  <si>
    <t>WC/LLC/650000033</t>
  </si>
  <si>
    <t>SPLINED SHAFT (TRGB) (SEE COMMENTS)</t>
  </si>
  <si>
    <t>WC/LLC/320000013/1</t>
  </si>
  <si>
    <t>OLEO ASSEMBLY - TRAILING NOSE WHEEL</t>
  </si>
  <si>
    <t>30800:00</t>
  </si>
  <si>
    <t>WC/MRHVA/LIFERECORD</t>
  </si>
  <si>
    <t>MRHVA Asset Usage recording</t>
  </si>
  <si>
    <t>50000:00</t>
  </si>
  <si>
    <t>WC/LLC/650000011</t>
  </si>
  <si>
    <t>COUPLING DISC</t>
  </si>
  <si>
    <t>WC/LLC/630000011</t>
  </si>
  <si>
    <t>PINION INPUT RH</t>
  </si>
  <si>
    <t>WC/LLC/630000046</t>
  </si>
  <si>
    <t>MRGB MOUNTING ASSY</t>
  </si>
  <si>
    <t>14200:00</t>
  </si>
  <si>
    <t>WC/LLC/670000016</t>
  </si>
  <si>
    <t>LEVER SUB ASSY LATERAL</t>
  </si>
  <si>
    <t>WC/LLC/630000006</t>
  </si>
  <si>
    <t>GEAR AUX DRIVE</t>
  </si>
  <si>
    <t>WC/LLC/630000008P</t>
  </si>
  <si>
    <t>SHAFT THROUGH AUX DRIVE, PORT</t>
  </si>
  <si>
    <t>WC/LLC/630000008S</t>
  </si>
  <si>
    <t>SHAFT THROUGH AUX DRIVE, STBD</t>
  </si>
  <si>
    <t>WC/LLC/630000012</t>
  </si>
  <si>
    <t>GEAR OIL PUMP DRIVE</t>
  </si>
  <si>
    <t>WC/LLC/630000013</t>
  </si>
  <si>
    <t>WC/LLC/630000017</t>
  </si>
  <si>
    <t>GEAR IDLER CTR AGB</t>
  </si>
  <si>
    <t>WC/LLC/630000018</t>
  </si>
  <si>
    <t>GEAR IDLER AGB</t>
  </si>
  <si>
    <t>WC/LLC/630000019P</t>
  </si>
  <si>
    <t>GEAR HYD PUMP AGB, PORT</t>
  </si>
  <si>
    <t>WC/LLC/630000019S</t>
  </si>
  <si>
    <t>GEAR HYD PUMP AGB, STBD</t>
  </si>
  <si>
    <t>WC/LLC/630000020P</t>
  </si>
  <si>
    <t>GEAR GENERATOR AGB, PORT</t>
  </si>
  <si>
    <t>WC/LLC/630000020S</t>
  </si>
  <si>
    <t>GEAR GENERATOR AGB, STBD</t>
  </si>
  <si>
    <t>WC/LLC/630000026</t>
  </si>
  <si>
    <t>SHAFT QUILL OIL PUMP</t>
  </si>
  <si>
    <t>WC/LLC/630000027P</t>
  </si>
  <si>
    <t>GEAR SPUR ACC G/BOX, PORT</t>
  </si>
  <si>
    <t>WC/LLC/630000028</t>
  </si>
  <si>
    <t>SPUR GEAR</t>
  </si>
  <si>
    <t>WC/LLC/630000029</t>
  </si>
  <si>
    <t>WC/LLC/630000030</t>
  </si>
  <si>
    <t>IDLER GEAR STBD</t>
  </si>
  <si>
    <t>WC/LLC/630000052P</t>
  </si>
  <si>
    <t>GENERATOR PINION OUTPUT, PORT</t>
  </si>
  <si>
    <t>WC/LLC/630000052S</t>
  </si>
  <si>
    <t>GENERATOR PINION OUTPUT, STBD</t>
  </si>
  <si>
    <t>WC/LLC/630000053P</t>
  </si>
  <si>
    <t>GENERATOR WHEEL INPUT, PORT</t>
  </si>
  <si>
    <t>WC/LLC/630000053S</t>
  </si>
  <si>
    <t>GENERATOR WHEEL INPUT, STBD</t>
  </si>
  <si>
    <t>WC/LLC/630000004</t>
  </si>
  <si>
    <t>WC/LLC/630000022</t>
  </si>
  <si>
    <t>WC/LLC/630000027S</t>
  </si>
  <si>
    <t>GEAR SPUR ACC G/BOX, STBD</t>
  </si>
  <si>
    <t>WC/LLC/670000011</t>
  </si>
  <si>
    <t>HM</t>
  </si>
  <si>
    <t>WC/MAUM6050</t>
  </si>
  <si>
    <t>TIME ABOVE MAUM 6050 RECORDING</t>
  </si>
  <si>
    <t>MX</t>
  </si>
  <si>
    <t>LXAUM</t>
  </si>
  <si>
    <t>TIME ABOVE ALL UP MASS RECORDING</t>
  </si>
  <si>
    <t>OH</t>
  </si>
  <si>
    <t>WC/HOIST/OP/HRS</t>
  </si>
  <si>
    <t>WILDCAT HOIST OPERATING HOURS - MASTER LIFE</t>
  </si>
  <si>
    <t>XJ</t>
  </si>
  <si>
    <t>WC/GRD/TAXI</t>
  </si>
  <si>
    <t>GROUND TAXI MASTER LIFE</t>
  </si>
  <si>
    <t>1E</t>
  </si>
  <si>
    <t>T800/30SEC/OEI</t>
  </si>
  <si>
    <t>ENGINE 30 SECOND OEI IN SECONDS</t>
  </si>
  <si>
    <t>T800/OEI1/30SEC</t>
  </si>
  <si>
    <t>NO1 ENGINE OEI 30 SECOND RATING IN SECONDS</t>
  </si>
  <si>
    <t>1G</t>
  </si>
  <si>
    <t>T800/2MIN/OEI</t>
  </si>
  <si>
    <t>ENGINE 2 MINUTE OEI IN SECONDS</t>
  </si>
  <si>
    <t>T800/OEI1/2MIN</t>
  </si>
  <si>
    <t>NO1 ENGINE OEI 2 MINUTE RATING IN SECONDS</t>
  </si>
  <si>
    <t>1S</t>
  </si>
  <si>
    <t>WC/5A1P4010001/1</t>
  </si>
  <si>
    <t>WC/5A1P4010001/2</t>
  </si>
  <si>
    <t>WC/5A1P4010001/4</t>
  </si>
  <si>
    <t>WC/5A1P4010001/5</t>
  </si>
  <si>
    <t>WC/5A1P4010001/6</t>
  </si>
  <si>
    <t>WC/5A1P4010001/7</t>
  </si>
  <si>
    <t>WC/5A1P4010001/3</t>
  </si>
  <si>
    <t>WC/5A1P4010001/8</t>
  </si>
  <si>
    <t>GGT INTERSTAGE ROTATING AIR SPECIAL METALLIC SEAL</t>
  </si>
  <si>
    <t>WC/5A1P4010001/9</t>
  </si>
  <si>
    <t>LX/ECU1/CYCLES</t>
  </si>
  <si>
    <t>NO 1 ENGINE CYCLES, T800 MASTER LIFE</t>
  </si>
  <si>
    <t>1T</t>
  </si>
  <si>
    <t>WC/5A1P4010001/13</t>
  </si>
  <si>
    <t>POWER TURBINE OUTPUT SHAFT</t>
  </si>
  <si>
    <t>WC/5A1P4010001/14</t>
  </si>
  <si>
    <t>POWER TURBINE STUB SHAFT</t>
  </si>
  <si>
    <t>WC/5A1P4010001/10</t>
  </si>
  <si>
    <t>WC/5A1P4010001/12</t>
  </si>
  <si>
    <t>LX/ECU1/PTCYCLES</t>
  </si>
  <si>
    <t>NO 1 ECU PWR TURBINE MASTER LIFE</t>
  </si>
  <si>
    <t>2E</t>
  </si>
  <si>
    <t>T800/OEI2/30SEC</t>
  </si>
  <si>
    <t>NO2 ENGINE OEI 30 SECOND RATING IN SECONDS</t>
  </si>
  <si>
    <t>2G</t>
  </si>
  <si>
    <t>T800/OEI2/2MIN</t>
  </si>
  <si>
    <t>NO2 ENGINE OEI 2 MINUTE RATING IN SECONDS</t>
  </si>
  <si>
    <t>2S</t>
  </si>
  <si>
    <t>LX/ECU2/CYCLES</t>
  </si>
  <si>
    <t>NO 2 ENGINE CYCLES, T800 MASTER LIFE</t>
  </si>
  <si>
    <t>2T</t>
  </si>
  <si>
    <t>LX/ECU2/PTCYCLES</t>
  </si>
  <si>
    <t>NO 2 ECU PWR TURBINE MASTER LIFE</t>
  </si>
  <si>
    <t>3T</t>
  </si>
  <si>
    <t>WC/5A1P4010001/11A</t>
  </si>
  <si>
    <t>LX/ECU1/PTDISCCYCLES</t>
  </si>
  <si>
    <t>NO 1 ECU POWER TURBINE DISC MASTER LIFE</t>
  </si>
  <si>
    <t>4T</t>
  </si>
  <si>
    <t>LX/ECU2/PTDISCCYCLES</t>
  </si>
  <si>
    <t>NO 2 ECU POWER TURBINE DISC MASTER LIFE</t>
  </si>
  <si>
    <t>AU</t>
  </si>
  <si>
    <t>WC/ENGINE/AUTOS</t>
  </si>
  <si>
    <t>TO RECORD ENGINE AUTOROTATIONS</t>
  </si>
  <si>
    <t>LX/AUTOS</t>
  </si>
  <si>
    <t>MASTER LIFE TO RECORD AUTOROTATIONS</t>
  </si>
  <si>
    <t>F1</t>
  </si>
  <si>
    <t>FSE1</t>
  </si>
  <si>
    <t>TRANSITION TO HOVER(COUNT)</t>
  </si>
  <si>
    <t>F2</t>
  </si>
  <si>
    <t>FSE2</t>
  </si>
  <si>
    <t>ANGLE OF BANK GREATER THAN 45 DEGREES(COUNT)</t>
  </si>
  <si>
    <t>F3</t>
  </si>
  <si>
    <t>FSE3</t>
  </si>
  <si>
    <t>SPOT TURNS GREATER THAN 30 DEGREES/SEC(COUNT)</t>
  </si>
  <si>
    <t>F4</t>
  </si>
  <si>
    <t>FSE4</t>
  </si>
  <si>
    <t>APPLICATION OF SUB-MIN PITCH (COUNT)</t>
  </si>
  <si>
    <t>F5</t>
  </si>
  <si>
    <t>FSE5</t>
  </si>
  <si>
    <t>TIME SPENT AT 132% TORQUE MASTER LIFE IN MINUTES</t>
  </si>
  <si>
    <t>IW</t>
  </si>
  <si>
    <t>WC/FLOTBAGINFLATE</t>
  </si>
  <si>
    <t>MASTER LIFE TO RECORD WILDCAT FLOT BAG INFLATIONS</t>
  </si>
  <si>
    <t>LF</t>
  </si>
  <si>
    <t>WC/LLC/320000001</t>
  </si>
  <si>
    <t>WC/LLC/320000002</t>
  </si>
  <si>
    <t>WC/LLC/320000006</t>
  </si>
  <si>
    <t>WT/LLC/320000009</t>
  </si>
  <si>
    <t>ARMY WILDCAT NOSE WHEEL</t>
  </si>
  <si>
    <t>WC/LLC/320000005</t>
  </si>
  <si>
    <t>WC/LLC/3200000XX</t>
  </si>
  <si>
    <t>WC/LLC/320000013</t>
  </si>
  <si>
    <t>WC/LANDINGS</t>
  </si>
  <si>
    <t>MASTER LIFE TO RECORD WILDCAT LANDINGS</t>
  </si>
  <si>
    <t>LP</t>
  </si>
  <si>
    <t>WC/WINCH/LIFTS</t>
  </si>
  <si>
    <t>MASTER LIFE TO RECORD RESCUE HOIST LIFTS</t>
  </si>
  <si>
    <t>LR</t>
  </si>
  <si>
    <t>WC/M3M/LHS</t>
  </si>
  <si>
    <t>M3M LHS SHOTS FIRED MASTER LIFE</t>
  </si>
  <si>
    <t>OP</t>
  </si>
  <si>
    <t>PERIOD_OF_OPERATION</t>
  </si>
  <si>
    <t>PERIOD OF OPERATION</t>
  </si>
  <si>
    <t>OS</t>
  </si>
  <si>
    <t>WC/PMP/6220011/50/A</t>
  </si>
  <si>
    <t>WILDCAT OVERSPEED 115% TO 118% NR</t>
  </si>
  <si>
    <t>WC/OVERSPEED/50/A</t>
  </si>
  <si>
    <t>OT</t>
  </si>
  <si>
    <t>WC/PMP/6220011/10/A</t>
  </si>
  <si>
    <t>WILDCAT OVERSPEED 118% TO 120% NR</t>
  </si>
  <si>
    <t>WC/OVERSPEED/10/A</t>
  </si>
  <si>
    <t>OZ</t>
  </si>
  <si>
    <t>WC/PMP/9350003/2</t>
  </si>
  <si>
    <t>EODS TURRET - CALIBRATE THE BORESIGHT</t>
  </si>
  <si>
    <t>WC/OHL/324000001/2</t>
  </si>
  <si>
    <t>PORT AND STBD MAIN WHEEL OVERHAUL</t>
  </si>
  <si>
    <t>WC/OHL/324000101/2</t>
  </si>
  <si>
    <t>PORT AND STBD NOSE WHEEL OVERHAUL</t>
  </si>
  <si>
    <t>GEN/ADMIN</t>
  </si>
  <si>
    <t>GOLDESP ADMIN NOT MANAGED BY DEFERMENT ACTION</t>
  </si>
  <si>
    <t>GEN/ADMIN/A</t>
  </si>
  <si>
    <t>GEN/ADMIN/B</t>
  </si>
  <si>
    <t>GEN/ADMIN/C</t>
  </si>
  <si>
    <t>GEN/ADMIN/D</t>
  </si>
  <si>
    <t>GEN/ADMIN/E</t>
  </si>
  <si>
    <t>GEN/AFRCHOURS</t>
  </si>
  <si>
    <t>AFRC HOURS RECORDING FOR JHC</t>
  </si>
  <si>
    <t>GEN/DATAAMEND</t>
  </si>
  <si>
    <t>AMENDMENT TO A/C TASK SCHEDULE IAW CAO 4740(1)</t>
  </si>
  <si>
    <t>GEN/DESPATCHCHECKS</t>
  </si>
  <si>
    <t>DESPATCH CHECKS</t>
  </si>
  <si>
    <t>GEN/EMBARKCHECK</t>
  </si>
  <si>
    <t>PRE AND POST EMBARKATION CHECKS</t>
  </si>
  <si>
    <t>GEN/INTOMAINT</t>
  </si>
  <si>
    <t>INTO MAINTENANCE/FOLD/SPREAD/STOWAGE OPS</t>
  </si>
  <si>
    <t>GEN/QA</t>
  </si>
  <si>
    <t>QA INSPECTION (NOT INCLUDING DEFECT RECTIFICATION)</t>
  </si>
  <si>
    <t>GEN/RCA</t>
  </si>
  <si>
    <t>REMOVAL OF COMPONENT FOR ACCESS (S REMOVAL)</t>
  </si>
  <si>
    <t>GEN/RCA/A</t>
  </si>
  <si>
    <t>REMOVAL OF COMPONENT FOR ACCESS ("S" REMOVAL)</t>
  </si>
  <si>
    <t>GEN/RCA/B</t>
  </si>
  <si>
    <t>GEN/RCA/C</t>
  </si>
  <si>
    <t>GEN/RCA/D</t>
  </si>
  <si>
    <t>GEN/RCA/E</t>
  </si>
  <si>
    <t>GEN/RCA/F</t>
  </si>
  <si>
    <t>GEN/RCA/G</t>
  </si>
  <si>
    <t>GEN/RCA/H</t>
  </si>
  <si>
    <t>GEN/RCA/I</t>
  </si>
  <si>
    <t>GEN/RCA/J</t>
  </si>
  <si>
    <t>GEN/RCA/K</t>
  </si>
  <si>
    <t>GEN/RCA/L</t>
  </si>
  <si>
    <t>GEN/RCA/M</t>
  </si>
  <si>
    <t>GEN/RCA/N</t>
  </si>
  <si>
    <t>GEN/RCA/O</t>
  </si>
  <si>
    <t>GEN/RCA/P</t>
  </si>
  <si>
    <t>GEN/RCA/Q</t>
  </si>
  <si>
    <t>GEN/RCA/R</t>
  </si>
  <si>
    <t>GEN/RCA/S</t>
  </si>
  <si>
    <t>GEN/RCA/T</t>
  </si>
  <si>
    <t>GEN/RCA/U</t>
  </si>
  <si>
    <t>GEN/RCA/V</t>
  </si>
  <si>
    <t>GEN/RCA/W</t>
  </si>
  <si>
    <t>GEN/RCA/X</t>
  </si>
  <si>
    <t>GEN/RCA/Y</t>
  </si>
  <si>
    <t>GEN/RCA/Z</t>
  </si>
  <si>
    <t>GEN/RECEIPTCHECKS</t>
  </si>
  <si>
    <t>RECEIPT CHECKS</t>
  </si>
  <si>
    <t>GEN/ROLECHANGE</t>
  </si>
  <si>
    <t>ROLE CHANGE</t>
  </si>
  <si>
    <t>GEN/ROLECHANGE/A</t>
  </si>
  <si>
    <t>GEN/ROLECHANGE/B</t>
  </si>
  <si>
    <t>GEN/ROLECHANGE/C</t>
  </si>
  <si>
    <t>GEN/SOFTWARECHANGE</t>
  </si>
  <si>
    <t>AVIONIC/AIRCRAFT SOFTWARE CONFIG CHANGES</t>
  </si>
  <si>
    <t>GEN/SST</t>
  </si>
  <si>
    <t>STANDARD SERVICEABILITY TEST</t>
  </si>
  <si>
    <t>GEN/SST/A</t>
  </si>
  <si>
    <t>GEN/SST/B</t>
  </si>
  <si>
    <t>GEN/SST/C</t>
  </si>
  <si>
    <t>GEN/TESTBED</t>
  </si>
  <si>
    <t>ECU TEST BED RUNS (INSTALLATION, RUN AND REMOVAL)</t>
  </si>
  <si>
    <t>GEN/TOOLCONTROL</t>
  </si>
  <si>
    <t>TOOL CONTROL</t>
  </si>
  <si>
    <t>GEN/TRANSPORT</t>
  </si>
  <si>
    <t>TRANSPORTATION (TO INCLUDE PREP AND RECOVERY)</t>
  </si>
  <si>
    <t>GEN/TRIALS</t>
  </si>
  <si>
    <t>TRIALS USE</t>
  </si>
  <si>
    <t>WC/PMP/1220001</t>
  </si>
  <si>
    <t>HUSBANDRY PROCEDURE - POST FUEL JETTISON</t>
  </si>
  <si>
    <t>WC/PMP/1221001</t>
  </si>
  <si>
    <t>AIRCRAFT FRESH WATER WATER</t>
  </si>
  <si>
    <t>WC/PMP/2140001</t>
  </si>
  <si>
    <t>COCKPIT/CABIN TEMP CTRL - VISUAL EXAM</t>
  </si>
  <si>
    <t>WC/PMP/2151002</t>
  </si>
  <si>
    <t>FWD AV COOLING FANS - OP TEST NON-RETURN VALVES</t>
  </si>
  <si>
    <t>WC/PMP/2152002</t>
  </si>
  <si>
    <t>REAR AV COOLING FANS -  OP TEST NON-RETURN VALVES</t>
  </si>
  <si>
    <t>WC/PMP/4350001/1</t>
  </si>
  <si>
    <t>SECURE COMMS CNTRL SYS - TEMPEST CHECK</t>
  </si>
  <si>
    <t>WC/PMP/4370001</t>
  </si>
  <si>
    <t>TELEBRIEF SYSTEM - FUNCTION TEST(PRE-EMBARKATION)</t>
  </si>
  <si>
    <t>WC/PMP/6310002/OZ</t>
  </si>
  <si>
    <t>MRD GIMBAL ELASTOMERIC BEARINGS - EXAMINE DETAILED</t>
  </si>
  <si>
    <t>WC/PMP/6310003</t>
  </si>
  <si>
    <t>MRD ENG TO MGB COUPLING ASSEMBLIES - EXAMINE</t>
  </si>
  <si>
    <t>WC/PMP/9930001/1</t>
  </si>
  <si>
    <t>END TO END FUNCTIONAL TESTING OF CMDS, MWS AND RWR</t>
  </si>
  <si>
    <t>LXGC4136</t>
  </si>
  <si>
    <t>CALL UP OF SONAR LOCATOR BEACON</t>
  </si>
  <si>
    <t>LXGC4286</t>
  </si>
  <si>
    <t>STOWAGE ASSY BOWMAN RADIO</t>
  </si>
  <si>
    <t>LXGC4336</t>
  </si>
  <si>
    <t>CABIN DOOR FOOT STEP TOLERANCE ISSUE</t>
  </si>
  <si>
    <t>LXGC4337</t>
  </si>
  <si>
    <t>EMC FILTER ASSEMBLY INCORRECT SPACERS</t>
  </si>
  <si>
    <t>LXGC4364PTB</t>
  </si>
  <si>
    <t>BLADE FOLD MANUFACTURING IMPROVEMENTS</t>
  </si>
  <si>
    <t>LXGC4428</t>
  </si>
  <si>
    <t>GLAZING UPPER CANOPY - CHANGE OF SEALANT</t>
  </si>
  <si>
    <t>LXGC4429</t>
  </si>
  <si>
    <t>ALTERNATIVE YAW CONTROL NUT</t>
  </si>
  <si>
    <t>LXGL2246PTB</t>
  </si>
  <si>
    <t>FUEL SURVIVABILITY ENHANCEMENTS-IMPROVED MANIFOLD</t>
  </si>
  <si>
    <t>LXGL2325PTD/NO1</t>
  </si>
  <si>
    <t>NEW HYDRAULIC PRESSURE SWITCH - NO.1 SYSTEM</t>
  </si>
  <si>
    <t>LXGL2325PTD/NO2</t>
  </si>
  <si>
    <t>NEW HYDRAULIC PRESSURE SWITCH - NO.2 SYSTEM</t>
  </si>
  <si>
    <t>LXGL2536</t>
  </si>
  <si>
    <t>FLOTATION INDEPENDENT POWER SUPPLY UNIT</t>
  </si>
  <si>
    <t>WCGW1014</t>
  </si>
  <si>
    <t>FUEL TANK LOW LEVEL WARNING - LOW LEVEL SWITCH MOD</t>
  </si>
  <si>
    <t>WCGW1015</t>
  </si>
  <si>
    <t>Introduction of revised ECS insulation material.</t>
  </si>
  <si>
    <t>WCGW1034PTA</t>
  </si>
  <si>
    <t>PORT UPPER GLAZING - WILDCAT ALTERNATIVE TRANSPARENCIES</t>
  </si>
  <si>
    <t>WCGW1034PTB</t>
  </si>
  <si>
    <t>STBD UPPER GLAZING - WILDCAT ALTERNATIVE TRANSPARENCIES</t>
  </si>
  <si>
    <t>WCGW1034PTE</t>
  </si>
  <si>
    <t>PORT LOWER GLAZING - WILDCAT ALTERNATIVE TRANSPARENCIES</t>
  </si>
  <si>
    <t>WCGW1034PTF</t>
  </si>
  <si>
    <t>STBD LOWER GLAZING - WILDCAT ALTERNATIVE TRANSPARENCIES</t>
  </si>
  <si>
    <t>WCGW1047</t>
  </si>
  <si>
    <t>REPLACEMENT OF BOLTS AND WASHERS FOR LOWER CABIN DOOR LATCHES</t>
  </si>
  <si>
    <t>WCGW1049</t>
  </si>
  <si>
    <t>INTEGRATED MODE 5 IFF</t>
  </si>
  <si>
    <t>WCR0160</t>
  </si>
  <si>
    <t>ELECTRICAL POWER - MODULES AND EARTHS - BOND LEAD M834 13/8-F007GX</t>
  </si>
  <si>
    <t>WCR0189PTC</t>
  </si>
  <si>
    <t>ENGINE TURBINE - APPLICATION OF SACRIFICIAL FOIL TAPE TO NUMBER 2 ENGINE AIR COOLED OIL COOLER.</t>
  </si>
  <si>
    <t>WC/PMP/7200001/OZ</t>
  </si>
  <si>
    <t>WC/PMP/7200002/OZ</t>
  </si>
  <si>
    <t>ENGINE EXTERNAL SURFACE WASH</t>
  </si>
  <si>
    <t>WCGW3008</t>
  </si>
  <si>
    <t>ENGINE WIRING HARNESS AND P-CLIP CHANGE. VENDOR SPB CTS800-4N-030</t>
  </si>
  <si>
    <t>LXGC4457</t>
  </si>
  <si>
    <t>OLEO PIN AND BUSH</t>
  </si>
  <si>
    <t>WC/OHL/324200001/2</t>
  </si>
  <si>
    <t>PORT AND STBD MAIN BRAKE UNIT OVERHAUL</t>
  </si>
  <si>
    <t>WC/PMP/7100008</t>
  </si>
  <si>
    <t>WC/PMP/2521004</t>
  </si>
  <si>
    <t>TROOP SEAT, POST WET WINCHING OPERATION</t>
  </si>
  <si>
    <t>LXGL2529</t>
  </si>
  <si>
    <t>EXTENDED ABSEILING GUARD</t>
  </si>
  <si>
    <t>WCGW1020</t>
  </si>
  <si>
    <t>INTRO CORROSION PROTECTION TO MRGB OUTPUT SHAFT</t>
  </si>
  <si>
    <t>WCGW1029</t>
  </si>
  <si>
    <t>MAIN ROTOR GEARBOX BRACKET MOD</t>
  </si>
  <si>
    <t>WCGW1051</t>
  </si>
  <si>
    <t>INTRODUCTION OF BENEVENTO LOWER HOUSING</t>
  </si>
  <si>
    <t>WCR0127PTB</t>
  </si>
  <si>
    <t>CORROSION IN THE MRGB LOWER CASING IN THE AREA AROUND THE ATTACHMENT BOLT BUSH</t>
  </si>
  <si>
    <t>WCR0144PTC</t>
  </si>
  <si>
    <t>CORROSION IN THE MRGB LWR CASING IN THE AREA AROUND THE ATTACHMENT BOLT BUSH P/N WG1568-0134-101/103</t>
  </si>
  <si>
    <t>LXG0817PTC</t>
  </si>
  <si>
    <t>IGB CASTING MATERIAL</t>
  </si>
  <si>
    <t>WC/PROC/62110100312</t>
  </si>
  <si>
    <t>LAG PLANE DAMPER - FILL AND SPECIAL DETAILED EXAMINATION</t>
  </si>
  <si>
    <t>LXG0959PTF</t>
  </si>
  <si>
    <t>(ANTI-NODE WEIGHT BAR) ALSO IDENTIFIED AS L2320.</t>
  </si>
  <si>
    <t>WCGW3005</t>
  </si>
  <si>
    <t>REPLACEMENT OF PAF DIFFERENTIAL SWITCH</t>
  </si>
  <si>
    <t>WCGW3010</t>
  </si>
  <si>
    <t>INTRODUCTION OF HMU PART NUMBER LH30607-01</t>
  </si>
  <si>
    <t>LXGC4318</t>
  </si>
  <si>
    <t>VITAL POINT INSPECTION ON TRDS BEARING</t>
  </si>
  <si>
    <t>WCGW1034PTG</t>
  </si>
  <si>
    <t>PORT CABIN DOOR GLAZING - WILDCAT ALTERNATIVE TRANSPARENCIES</t>
  </si>
  <si>
    <t>WCGW1048</t>
  </si>
  <si>
    <t>CABIN DOOR WINDOW JETTISON GUARD</t>
  </si>
  <si>
    <t>WCGW1034PTH</t>
  </si>
  <si>
    <t>STBD CABIN DOOR GLAZING - WILDCAT ALTERNATIVE TRANSPARENCIES</t>
  </si>
  <si>
    <t>RF</t>
  </si>
  <si>
    <t>WC/GPMG</t>
  </si>
  <si>
    <t>WILDCAT GPMG MASTER LIFE</t>
  </si>
  <si>
    <t>RL</t>
  </si>
  <si>
    <t>WC/RUN/LANDINGS</t>
  </si>
  <si>
    <t>RUNNING LANDINGS MASTER LIFE</t>
  </si>
  <si>
    <t>RR</t>
  </si>
  <si>
    <t>WC/M3M/RHS</t>
  </si>
  <si>
    <t>M3M RHS SHOTS FIRED MASTER LIFE</t>
  </si>
  <si>
    <t>RS</t>
  </si>
  <si>
    <t>WCRSSC</t>
  </si>
  <si>
    <t>ROTOR START/STOP CYCLES</t>
  </si>
  <si>
    <t>SE</t>
  </si>
  <si>
    <t>WC/MF724/SE</t>
  </si>
  <si>
    <t>SINGLE ENGINE FLIGHT MASTER LIFE IN MINUTES</t>
  </si>
  <si>
    <t>SL</t>
  </si>
  <si>
    <t>WC/DEEPSNOW/LANDINGS</t>
  </si>
  <si>
    <t>DEEP SNOW LANDINGS</t>
  </si>
  <si>
    <t>SM</t>
  </si>
  <si>
    <t>WC/STARTS/10</t>
  </si>
  <si>
    <t>WC/STARTS/11</t>
  </si>
  <si>
    <t>WC/STARTS/12</t>
  </si>
  <si>
    <t>WC/STARTS/ECU</t>
  </si>
  <si>
    <t>T800 ENGINE STARTS</t>
  </si>
  <si>
    <t>WC/STARTS/02</t>
  </si>
  <si>
    <t>WC/STARTS/04</t>
  </si>
  <si>
    <t>WC/STARTS/05</t>
  </si>
  <si>
    <t>WC/STARTS/06</t>
  </si>
  <si>
    <t>WC/STARTS/07</t>
  </si>
  <si>
    <t>WC/STARTS/03</t>
  </si>
  <si>
    <t>WC/STARTS/08</t>
  </si>
  <si>
    <t>WC/STARTS/09</t>
  </si>
  <si>
    <t>WC/STARTS/13</t>
  </si>
  <si>
    <t>WC/STARTS/14</t>
  </si>
  <si>
    <t>WC/STARTS/01</t>
  </si>
  <si>
    <t>LX/ECU1/STARTS</t>
  </si>
  <si>
    <t>NO 1 ECU STARTS, T800 MASTER LIFE</t>
  </si>
  <si>
    <t>SN</t>
  </si>
  <si>
    <t>LX/ECU2/STARTS</t>
  </si>
  <si>
    <t>NO 2 ECU STARTS, T800 MASTER LIFE</t>
  </si>
  <si>
    <t>DD</t>
  </si>
  <si>
    <t>DATA-INT/STRUCTURE</t>
  </si>
  <si>
    <t>GOLDESP STRUCTURE REPORT (WAS QA6)</t>
  </si>
  <si>
    <t>WC/PMP/4622001</t>
  </si>
  <si>
    <t>DO THE AMS "ALERT MASK" CHECK</t>
  </si>
  <si>
    <t>WCCHOP3</t>
  </si>
  <si>
    <t>CLEANING AND HUSBANDRY OP 3</t>
  </si>
  <si>
    <t>PT3-D</t>
  </si>
  <si>
    <t>WC/STORAGE/START</t>
  </si>
  <si>
    <t>START STORAGE MAINTENANCE SCHEDULE</t>
  </si>
  <si>
    <t>PT2-D</t>
  </si>
  <si>
    <t>LIMITATION - EODS 'NO BORE' INDICATES REDUCED ELRF ACCURACY. VERTICAL &amp; HORIZONTAL APPROXIMATE ACCURACY REDUCED FROM +/- 1.5% TO +/- 2.7% AND RANGE BY APPROXIMATELY 10%. GO7 ANNEX H &amp; TQS 5394 REFER.</t>
  </si>
  <si>
    <t>WC/PMP/2511004/1</t>
  </si>
  <si>
    <t>WC/MAR</t>
  </si>
  <si>
    <t>MAR REFORECAST ON RECIEPT OF SIGNED MF710</t>
  </si>
  <si>
    <t>WC/LLC/335100001</t>
  </si>
  <si>
    <t>COCKPIT EMERGENCY EGRESS LIGHTS PSU BATTERY</t>
  </si>
  <si>
    <t>WC/LLC/335200003</t>
  </si>
  <si>
    <t>LEFT CABIN EMERGENCY EGRESS LIGHTS PSU BATTERY</t>
  </si>
  <si>
    <t>WC/LLC/335200004</t>
  </si>
  <si>
    <t>RIGHT CABIN EMERGENCY EGRESS LIGHTS PSU BATTERY</t>
  </si>
  <si>
    <t>WC/PMP/2511002/1</t>
  </si>
  <si>
    <t>WC/PMP/2511006/1</t>
  </si>
  <si>
    <t>WC/PMP/4322001</t>
  </si>
  <si>
    <t>TRANS BATTERIES - ELECT POWER CHECK</t>
  </si>
  <si>
    <t>WC/PMP/7200004</t>
  </si>
  <si>
    <t>ENGINES - EXAMINE (EXTERNAL)</t>
  </si>
  <si>
    <t>WC/PMP/3040004/1</t>
  </si>
  <si>
    <t>WC/PMP/6210004/1</t>
  </si>
  <si>
    <t>WC/PMP/6521006</t>
  </si>
  <si>
    <t>IGB EXTERNAL SURFACES - EXAMINE</t>
  </si>
  <si>
    <t>WC/PMP/5210005/2</t>
  </si>
  <si>
    <t>COCKPIT DOORS - JETTISON CHECK</t>
  </si>
  <si>
    <t>WCR0152PTD</t>
  </si>
  <si>
    <t>MANAGEMENT OF I-BEAM/S406 FRAME CORROSION</t>
  </si>
  <si>
    <t>WC/OHL/243300002</t>
  </si>
  <si>
    <t>AUXILIARY BATTERY OVERHAUL LIFE</t>
  </si>
  <si>
    <t>WC/OHL/243300001</t>
  </si>
  <si>
    <t>MAIN DC BATTERY OVERHAUL LIFE</t>
  </si>
  <si>
    <t>WC/PMP/5511001/1</t>
  </si>
  <si>
    <t>WC/PMP/4545005</t>
  </si>
  <si>
    <t>DAPU BEACON - FUNCTION TEST OF THE ULB BATTERY</t>
  </si>
  <si>
    <t>WC/LLC/252100001</t>
  </si>
  <si>
    <t>TROOP SEAT HARNESSES</t>
  </si>
  <si>
    <t>WC/PMP/6710003/1</t>
  </si>
  <si>
    <t>COLLECTIVE CONTROLS - DESIGN DATA/TOLERANCE CX</t>
  </si>
  <si>
    <t>WC/PMP/6720003/1</t>
  </si>
  <si>
    <t>DATA-INT/MODF700C-AUDIT</t>
  </si>
  <si>
    <t>MOD F700C AUDIT (WAS QA42)</t>
  </si>
  <si>
    <t>WC/PMP/6510003/1</t>
  </si>
  <si>
    <t>WC/PMP/6521005/1</t>
  </si>
  <si>
    <t>IGB SURFACE PROTECTION - INTENSIVE VISUAL EXAMINATION</t>
  </si>
  <si>
    <t>DATA-INT/QA</t>
  </si>
  <si>
    <t>GOLDESP QA REPORT (WAS QA5)</t>
  </si>
  <si>
    <t>DATA-INT/WEIGHT</t>
  </si>
  <si>
    <t>GOLDESP WEIGHT AND BALANCE REPORT (WAS QA7)</t>
  </si>
  <si>
    <t>WC/PMP/2400003</t>
  </si>
  <si>
    <t>DC GEN BUS TIE CTRL SYS - FUNTION TEST</t>
  </si>
  <si>
    <t>WC/PMP/2461001</t>
  </si>
  <si>
    <t>ELEC POWER - OP TEST-ESSENTIAL SERVICES BUS BARS</t>
  </si>
  <si>
    <t>WC/PMP/1222015/1</t>
  </si>
  <si>
    <t>WC/PMP/2161001/1</t>
  </si>
  <si>
    <t>WC/PMP/2400002</t>
  </si>
  <si>
    <t>BONDING/EARTH POINT-MRB-TRB FUNCTION TESTS</t>
  </si>
  <si>
    <t>WC/PMP/3411001</t>
  </si>
  <si>
    <t>AIR DATA UNIT - FUNCTION TEST</t>
  </si>
  <si>
    <t>WC/PMP/3450001</t>
  </si>
  <si>
    <t>GPS/VOR/ILS - FUNCTION TEST</t>
  </si>
  <si>
    <t>WC/PMP/5043009</t>
  </si>
  <si>
    <t>RESCUE HOIST - FUNCTION TEST "DC GEN FAIL" CIRCUIT</t>
  </si>
  <si>
    <t>WC/PMP/5240002/1</t>
  </si>
  <si>
    <t>WC/PMP/5240003/1</t>
  </si>
  <si>
    <t>WC/PMP/6310001/1</t>
  </si>
  <si>
    <t>MRD GIMBAL ELASTOMERIC BEARINGS - EXAMINE</t>
  </si>
  <si>
    <t>WC/PMP/7920003</t>
  </si>
  <si>
    <t>DRAIN AND REPLACE THE ENGINE OIL</t>
  </si>
  <si>
    <t>WC/PMP/6320011/1</t>
  </si>
  <si>
    <t>WC/PMP/9340002</t>
  </si>
  <si>
    <t>IFF - INTEGRITY CHECK</t>
  </si>
  <si>
    <t>WC/PMP/6220009/1</t>
  </si>
  <si>
    <t>WC/PMP/6730002/1</t>
  </si>
  <si>
    <t>WC/PMP/9562001</t>
  </si>
  <si>
    <t>SURVIVABILITY - FUNCTION TEST</t>
  </si>
  <si>
    <t>WC/PMP/3440001</t>
  </si>
  <si>
    <t>INTERNAL NAV SYS - AHRS AND STANDBY COMPASS SWING</t>
  </si>
  <si>
    <t>WC/PMP/4545006</t>
  </si>
  <si>
    <t>COCKPIT VOICE FLIGHT RECORDER - DOWNLOAD THE INFO</t>
  </si>
  <si>
    <t>WC/PMP/6320009/1</t>
  </si>
  <si>
    <t>WC/PMP/1222021/1</t>
  </si>
  <si>
    <t>WC/PMP/1221003</t>
  </si>
  <si>
    <t>FOAM WASH  - EXTERNAL STATIC AND ROTARY SURFACES</t>
  </si>
  <si>
    <t>WC/LLC/335200001</t>
  </si>
  <si>
    <t>LH CABIN DOOR EELS BATTERY PACK</t>
  </si>
  <si>
    <t>WC/PMP/2624002</t>
  </si>
  <si>
    <t>HAND FIRE EXTINGUISHER - EXAMINE</t>
  </si>
  <si>
    <t>WC/CONC/DHAND</t>
  </si>
  <si>
    <t>D-HANDLE CONCESSION BACK STOP IAW WCGM/26/0341</t>
  </si>
  <si>
    <t>WC/LLC/344000001</t>
  </si>
  <si>
    <t>IGI BATTERY</t>
  </si>
  <si>
    <t>DATA-INT/AC-COMP-AUDIT</t>
  </si>
  <si>
    <t>AIRCRAFT COMPONENT AUDIT (WAS QA41)</t>
  </si>
  <si>
    <t>DATA-INT/PHYS-AC-AUDIT</t>
  </si>
  <si>
    <t>PHYSICAL AIRCRAFT AUDIT (WAS QA1)</t>
  </si>
  <si>
    <t>WCR0186PTC/1</t>
  </si>
  <si>
    <t>WC/PMP/1222003/1</t>
  </si>
  <si>
    <t>WC/PMP/1222010/1</t>
  </si>
  <si>
    <t>WC/PMP/1222011/1</t>
  </si>
  <si>
    <t>WC/PMP/1222012/1</t>
  </si>
  <si>
    <t>WC/PMP/3210006/1</t>
  </si>
  <si>
    <t>WC/PMP/3220006/1</t>
  </si>
  <si>
    <t>WC/PMP/5321005/1</t>
  </si>
  <si>
    <t>WC/PMP/5325001/1</t>
  </si>
  <si>
    <t>SPONSON BOX FRAMES AND U/C ATTACH PLATES - EXAMINE</t>
  </si>
  <si>
    <t>WC/PMP/5334001/1</t>
  </si>
  <si>
    <t>WC/OHL/2620003XX</t>
  </si>
  <si>
    <t>ENGINE FIRE EXTINGUISHER BOTTLE OVERHAUL LIFE</t>
  </si>
  <si>
    <t>WCR0200/1</t>
  </si>
  <si>
    <t>MANAGEMENT OF CORROSION HOT-SPOT IVO PANELS 157AL &amp; 158AR</t>
  </si>
  <si>
    <t>WC/PMP/2620009</t>
  </si>
  <si>
    <t>NO1 AND NO2 ENGINE FIRE BOTTLES CHECK WEIGH</t>
  </si>
  <si>
    <t>WC/PMP/2400001</t>
  </si>
  <si>
    <t>CIRCUIT BREAKERS - OPERATION TESTS</t>
  </si>
  <si>
    <t>WC/PMP/4331001</t>
  </si>
  <si>
    <t>HF SYSTEM LUBRICATE THE HF ANTENNA</t>
  </si>
  <si>
    <t>WC/LLC/2511000XX</t>
  </si>
  <si>
    <t>P1, P2, INST AND ASSESSOR SEAT HARNESSES</t>
  </si>
  <si>
    <t>WC/PMP/1200001</t>
  </si>
  <si>
    <t>DEPTH MAINTENANCE PACKAGE</t>
  </si>
  <si>
    <t>WC/PMP/1222002/1</t>
  </si>
  <si>
    <t>WC/PMP/1222004/1</t>
  </si>
  <si>
    <t>WC/PMP/1222007/1</t>
  </si>
  <si>
    <t>WC/PMP/1222008/1</t>
  </si>
  <si>
    <t>WC/PMP/1222009/1</t>
  </si>
  <si>
    <t>WC/PMP/1222013/1</t>
  </si>
  <si>
    <t>WC/PMP/1222014/1</t>
  </si>
  <si>
    <t>WC/PMP/1222016/1</t>
  </si>
  <si>
    <t>WC/PMP/1222018/1</t>
  </si>
  <si>
    <t>WC/PMP/2400005</t>
  </si>
  <si>
    <t>BONDING/EARTH POINTS-STRUCTURE/FUEL FUNC TESTS</t>
  </si>
  <si>
    <t>WC/PMP/2610002/1</t>
  </si>
  <si>
    <t>WC/PMP/2620010/1</t>
  </si>
  <si>
    <t>WC/PMP/3340006/1</t>
  </si>
  <si>
    <t>LANDING LAMP</t>
  </si>
  <si>
    <t>WCR0176PTB</t>
  </si>
  <si>
    <t>REPLACEMENT OF TORQ-SET FASTENERS WITH HEX HEAD BOLTS ON MULTIPLE AIRCRAFT PANELS</t>
  </si>
  <si>
    <t>WC/PMP/6420003/1</t>
  </si>
  <si>
    <t>WC/PMP/2151004</t>
  </si>
  <si>
    <t>FORWARD AVIONIC COOLING FANS</t>
  </si>
  <si>
    <t>WC/PMP/2152003</t>
  </si>
  <si>
    <t>REAR AVIONIC COOLING FANS</t>
  </si>
  <si>
    <t>WC/LLC/335200002</t>
  </si>
  <si>
    <t>RH CABIN DOOR EELS BATTERY PACK</t>
  </si>
  <si>
    <t>WC/PMP/5043018</t>
  </si>
  <si>
    <t>WC/PMP/2830001</t>
  </si>
  <si>
    <t>FUEL JETTISON SYSTEM - OPERATION TEST</t>
  </si>
  <si>
    <t>WC/PMP/2840001/1</t>
  </si>
  <si>
    <t>WC/PMP/2151003</t>
  </si>
  <si>
    <t>FWD AV COOL FANS - UNDERSPEED CIRCUITS - OP TESTS</t>
  </si>
  <si>
    <t>WC/PMP/2610001/1</t>
  </si>
  <si>
    <t>WC/PMP/2620005/1</t>
  </si>
  <si>
    <t>FIRE SUPPRESSION SYSTEM - ELECTRICAL FUNCTION TEST</t>
  </si>
  <si>
    <t>WC/PMP/6522005</t>
  </si>
  <si>
    <t>TAIL ROTOR GEARBOX EXTERNAL SURFACES - EXAMINE</t>
  </si>
  <si>
    <t>WC/OHL/256000001/PT</t>
  </si>
  <si>
    <t>PORT FIRST AID KIT - REMOVE AND REPLACE</t>
  </si>
  <si>
    <t>WC/PMP/2810007</t>
  </si>
  <si>
    <t>REPLACE THE GRAVITY REFUEL LANYARDS</t>
  </si>
  <si>
    <t>WC/OHL/262400001</t>
  </si>
  <si>
    <t>HAND HELD FIRE EXTINGUISHER OVERHAUL LIFE</t>
  </si>
  <si>
    <t>WC/PMP/1222001/1</t>
  </si>
  <si>
    <t>WC/PMP/1222005/1</t>
  </si>
  <si>
    <t>WC/PMP/5311003/1</t>
  </si>
  <si>
    <t>WC/PMP/5319001/1</t>
  </si>
  <si>
    <t>WC/PMP/5321001/1</t>
  </si>
  <si>
    <t>MAIN LIFT FRAME STRUCTURE STN 406F FRAME - EXAMINE</t>
  </si>
  <si>
    <t>WC/PMP/5321004/1</t>
  </si>
  <si>
    <t>WC/PMP/5323001/1</t>
  </si>
  <si>
    <t>NOSE U/C MOUNTING STRUCT STN 181F - EXAMINE</t>
  </si>
  <si>
    <t>WC/PMP/5323003/1</t>
  </si>
  <si>
    <t>WC/PMP/5323005</t>
  </si>
  <si>
    <t>V560 PORT AND STBD SHEARWEB BEAMS - EXAMINE</t>
  </si>
  <si>
    <t>WC/PMP/5328001/1</t>
  </si>
  <si>
    <t>WC/PMP/5331001/1</t>
  </si>
  <si>
    <t>WC/PMP/5331002/1</t>
  </si>
  <si>
    <t>WC/PMP/5333001/1</t>
  </si>
  <si>
    <t>WC/PMP/5334002/1</t>
  </si>
  <si>
    <t>WC/PMP/5334004/1</t>
  </si>
  <si>
    <t>WC/PMP/5334005/1</t>
  </si>
  <si>
    <t>WC/PMP/5334006/1</t>
  </si>
  <si>
    <t>WC/PMP/5334008/1</t>
  </si>
  <si>
    <t>WC/PMP/5334009/1</t>
  </si>
  <si>
    <t>TAILROTOR G/BOX PLATFORM - EXAMINE</t>
  </si>
  <si>
    <t>WC/PMP/5336001/1</t>
  </si>
  <si>
    <t>WC/PMP/0830001</t>
  </si>
  <si>
    <t>CHECK WEIGH OF AIRCRAFT</t>
  </si>
  <si>
    <t>WC/PMP/2900001</t>
  </si>
  <si>
    <t>WC/PMP/5321007/1</t>
  </si>
  <si>
    <t>WC/PMP/3350002</t>
  </si>
  <si>
    <t>EMERGENCY EGRESS LIGHTING SEALING</t>
  </si>
  <si>
    <t>WC/LLC/462100001</t>
  </si>
  <si>
    <t>TACTICAL PROCESSOR BATTERY</t>
  </si>
  <si>
    <t>WC/LLC/2620001XX</t>
  </si>
  <si>
    <t>LH/RH YELLOW FIRE EXTINGUISHER CARTRIDGES</t>
  </si>
  <si>
    <t>WC/LLC/2620002XX</t>
  </si>
  <si>
    <t>LH/RH GREY FIRE EXTINGUISHER CARTRIDGES</t>
  </si>
  <si>
    <t>WC/PMP/1222020/1</t>
  </si>
  <si>
    <t>WC/PMP/2620007</t>
  </si>
  <si>
    <t>ENG FIRE PROT CHECK VALVES AND ADAPTORS - EXAMINE</t>
  </si>
  <si>
    <t>WC/PMP/2620008</t>
  </si>
  <si>
    <t>FIRE PROTECTION SUPPRESSION SYSTEM - FUNCTION TEST</t>
  </si>
  <si>
    <t>WC/LLC/620000045/1</t>
  </si>
  <si>
    <t>LORD TIE BARS SCRAP LIFE</t>
  </si>
  <si>
    <t>WC/PMP/2620006/1</t>
  </si>
  <si>
    <t>FIRE SUPPRESSION SYSTEM - EXAMINE</t>
  </si>
  <si>
    <t>WC/PMP/2900009</t>
  </si>
  <si>
    <t>HYDRAULIC FLEXIBLE HOSES- VISUAL INSPECTION (84 MTHS)</t>
  </si>
  <si>
    <t>WC/LLC/454500401</t>
  </si>
  <si>
    <t>CVR/FDR ULB BATTERY</t>
  </si>
  <si>
    <t>WC/PMP/2900010</t>
  </si>
  <si>
    <t>HYDRAULIC FLEXIBLE HOSES- VISUAL INSPECTION (96 MTHS)</t>
  </si>
  <si>
    <t>WC/PMP/5311001/1</t>
  </si>
  <si>
    <t>WC/PMP/2900011</t>
  </si>
  <si>
    <t>HYDRAULIC FLEXIBLE HOSES- VISUAL INSPECTION (108 MTHS)</t>
  </si>
  <si>
    <t>WC/LLC/290000015</t>
  </si>
  <si>
    <t>HYDRAULIC FLEXIBLE HOSES</t>
  </si>
  <si>
    <t>HH 200</t>
  </si>
  <si>
    <t>HH 150</t>
  </si>
  <si>
    <t>HH 100</t>
  </si>
  <si>
    <t>HH 50</t>
  </si>
  <si>
    <t>HH 25</t>
  </si>
  <si>
    <t>DD 728</t>
  </si>
  <si>
    <t>DD 364</t>
  </si>
  <si>
    <t>DD 182</t>
  </si>
  <si>
    <t>DD 91</t>
  </si>
  <si>
    <t>DD 90</t>
  </si>
  <si>
    <t>DD 30</t>
  </si>
  <si>
    <t>DD 28</t>
  </si>
  <si>
    <t>DD 0</t>
  </si>
  <si>
    <t>N</t>
  </si>
  <si>
    <t>Current Rotation</t>
  </si>
  <si>
    <t>Extensions Required</t>
  </si>
  <si>
    <t>Chart</t>
  </si>
  <si>
    <t>NOW</t>
  </si>
  <si>
    <t>_Import - Imported files must include the required columns as a minimum, but they may have more, and in different orders - the system needs to pick out the columns required for import and map them correctly.</t>
  </si>
  <si>
    <t>LATER</t>
  </si>
  <si>
    <t>Weeks before forecast start</t>
  </si>
  <si>
    <t>WC/LLC</t>
  </si>
  <si>
    <t>WC/OHL</t>
  </si>
  <si>
    <t>WCR</t>
  </si>
  <si>
    <t>WCU</t>
  </si>
  <si>
    <t>WC/STORAGE</t>
  </si>
  <si>
    <t>Last Import</t>
  </si>
  <si>
    <t>WCR0183PTB/1</t>
  </si>
  <si>
    <t>MAIN ROTOR GEARBOX - ENHANCED CONDITION INDICATOR MONITORING</t>
  </si>
  <si>
    <t>WC/PMP/6522003</t>
  </si>
  <si>
    <t>WC/PMP/6522004</t>
  </si>
  <si>
    <t>WC/PMP/6222002</t>
  </si>
  <si>
    <t>DO AN INTENSIVE VISUAL EXAMINATION OF THE MAIN ROT</t>
  </si>
  <si>
    <t>WRI/WG1568-0403/C/REPAIR</t>
  </si>
  <si>
    <t>TAIL ROTOR DRIVE SHAFT - PROVISIONAL LIFE</t>
  </si>
  <si>
    <t>WRI/WG1368-0204/C/REPAIR</t>
  </si>
  <si>
    <t>WC/LLC/550000001/3</t>
  </si>
  <si>
    <t>TAILPLANE POST-MOD W1002B - FAGITUE LIFE</t>
  </si>
  <si>
    <t>WC/LLC/620000031</t>
  </si>
  <si>
    <t>KIT BLOCK BRG ASSY</t>
  </si>
  <si>
    <t>WC/LLC/650000037/01</t>
  </si>
  <si>
    <t>NO.2,3,4 TAIL DRIVESHAFT (WG1568-0403-045)</t>
  </si>
  <si>
    <t>WC/LLC/650000006/01</t>
  </si>
  <si>
    <t>NO1 TRDS</t>
  </si>
  <si>
    <t>WC/LLC/620000025/03</t>
  </si>
  <si>
    <t>WC/LLC/620000043/02</t>
  </si>
  <si>
    <t>BOLT HUB DISC ASSY</t>
  </si>
  <si>
    <t>WC/LLC/620000016</t>
  </si>
  <si>
    <t>LXG0865</t>
  </si>
  <si>
    <t>NEW MRH VIBRATION ABSORBER</t>
  </si>
  <si>
    <t>WCGW1034PTC</t>
  </si>
  <si>
    <t>PILOTS COCKPIT DOOR GLAZING - WILDCAT ALTERNATIVE TRANSPARENCIES</t>
  </si>
  <si>
    <t>WCGW1034PTD</t>
  </si>
  <si>
    <t>CO-PILOTS COCKPIT DOOR GLAZING - WILDCAT ALTERNATIVE TRANSPARENCIES</t>
  </si>
  <si>
    <t>E1 400</t>
  </si>
  <si>
    <t>E1 300</t>
  </si>
  <si>
    <t>HH 12.5</t>
  </si>
  <si>
    <t>DD 546</t>
  </si>
  <si>
    <t>DD 365</t>
  </si>
  <si>
    <t>Flying Wk 2</t>
  </si>
  <si>
    <t>Flying Wk 1</t>
  </si>
  <si>
    <t>Toggle import sheets</t>
  </si>
  <si>
    <t>WC/MISC03</t>
  </si>
  <si>
    <t>POST INSTALLATION OF THE ROTOR BRAKE DISC</t>
  </si>
  <si>
    <t>WCR0173</t>
  </si>
  <si>
    <t>HH 600</t>
  </si>
  <si>
    <t>Days to Maint</t>
  </si>
  <si>
    <t>Add system that allows user to choose an aircraft, enter a date range, and then display all task codes of type LLC/OHL</t>
  </si>
  <si>
    <t>Planning Mode</t>
  </si>
  <si>
    <t>Down Start</t>
  </si>
  <si>
    <t>In Cycle</t>
  </si>
  <si>
    <t>Maint Wk 1</t>
  </si>
  <si>
    <t>Maint Wk 2</t>
  </si>
  <si>
    <t>ETBOL</t>
  </si>
  <si>
    <t>Critical Tasks</t>
  </si>
  <si>
    <t>Highlight / Critical Prefix</t>
  </si>
  <si>
    <t>Notes</t>
  </si>
  <si>
    <t>Do Not Extend Prefix</t>
  </si>
  <si>
    <t>Do Not Pull / Group Prefix</t>
  </si>
  <si>
    <t>1AAC WKSP 661 Es Pl Digital Crewchief</t>
  </si>
  <si>
    <t>WC/MISC</t>
  </si>
  <si>
    <t>Interval</t>
  </si>
  <si>
    <t>Make work with different rotation cycles? Maybe add flying hours rotation to rotation sheet, and generate columns when settings cycle are changed?</t>
  </si>
  <si>
    <t>Due This Cycle</t>
  </si>
  <si>
    <t>Jump to:</t>
  </si>
  <si>
    <t>Charts - On pulled AND grouped tasks, include amount pulled by (as a number not %age)</t>
  </si>
  <si>
    <t>Maintenance weeks per cycle</t>
  </si>
  <si>
    <t>Open Chart</t>
  </si>
  <si>
    <t>Due Next Cycle</t>
  </si>
  <si>
    <t>Due Next Maint Cycle</t>
  </si>
  <si>
    <t>Type</t>
  </si>
  <si>
    <t>Description</t>
  </si>
  <si>
    <t>Flying Wk 3</t>
  </si>
  <si>
    <t>NOTE: In the future, these will be editable to allow differing rotation cycle periods</t>
  </si>
  <si>
    <t>Priority</t>
  </si>
  <si>
    <t>Feature</t>
  </si>
  <si>
    <t>Status</t>
  </si>
  <si>
    <t>SOON</t>
  </si>
  <si>
    <t>Implemented but requires testing</t>
  </si>
  <si>
    <t>Not started</t>
  </si>
  <si>
    <t>DD 180</t>
  </si>
  <si>
    <t>Highlight current week on charts</t>
  </si>
  <si>
    <t>Forecast Start Mode</t>
  </si>
  <si>
    <t>Calculated Cycle Week</t>
  </si>
  <si>
    <t>Cycle Reference Date</t>
  </si>
  <si>
    <t>Cycle Week at Reference Date</t>
  </si>
  <si>
    <t>Cycle Week on Return</t>
  </si>
  <si>
    <t>DD 2184</t>
  </si>
  <si>
    <t>Down Reason</t>
  </si>
  <si>
    <t>Legend for chart/dashboard colours</t>
  </si>
  <si>
    <t>Current Week</t>
  </si>
  <si>
    <t>HH 400</t>
  </si>
  <si>
    <t>Max pull threshold</t>
  </si>
  <si>
    <t>Max alignment threshold</t>
  </si>
  <si>
    <t>Forecast length</t>
  </si>
  <si>
    <t>Enable task alignment</t>
  </si>
  <si>
    <t>NOTE: Future use, currently not editable</t>
  </si>
  <si>
    <t>Task Settings</t>
  </si>
  <si>
    <t>Forecast start date (Monday)</t>
  </si>
  <si>
    <t>DD 4368</t>
  </si>
  <si>
    <t>Reimport</t>
  </si>
  <si>
    <t>ZZ382</t>
  </si>
  <si>
    <t>ZZ382 Maintenance Forecast</t>
  </si>
  <si>
    <t>WC/PMP/7200005/DDE</t>
  </si>
  <si>
    <t>ENGINE DDE COMBUSTION CHAMBER BORESCOPE INSPECTION</t>
  </si>
  <si>
    <t>WCR0196PTB</t>
  </si>
  <si>
    <t>ENGINE TURBINE  STANDARDISED MANAGEMENT OF COMBUSTION CHAMBER SDE FOLLOW-UP BORESCOPE INSPECTIONS.</t>
  </si>
  <si>
    <t>WC/LLC/620000004</t>
  </si>
  <si>
    <t>LH/RH SUB-ASSY BRG BLOCK (SPIDER CONTROL)</t>
  </si>
  <si>
    <t>WC/LLC/956100202/1</t>
  </si>
  <si>
    <t>FLOTATION BAG STBD AFT</t>
  </si>
  <si>
    <t>WC/LLC/956100102/1</t>
  </si>
  <si>
    <t>FLOTATION BAG STBD FWD</t>
  </si>
  <si>
    <t>WC/LLC/956100101/1</t>
  </si>
  <si>
    <t>FLOTATION BAG PORT FWD</t>
  </si>
  <si>
    <t>WC/LLC/956100201/1</t>
  </si>
  <si>
    <t>FLOTATION BAG PORT AFT</t>
  </si>
  <si>
    <t>WCGW1039PTA</t>
  </si>
  <si>
    <t>FORWARD FLOTAION POD WASHERS</t>
  </si>
  <si>
    <t>WCGW1039PTB</t>
  </si>
  <si>
    <t>AFT FLOTATION POD INSTALLATION IMPROVEMENTS</t>
  </si>
  <si>
    <t>WCGW1012</t>
  </si>
  <si>
    <t>OIL PRESENCE SENSOR ELECTRICAL CONNECTORS</t>
  </si>
  <si>
    <t>LXG0880</t>
  </si>
  <si>
    <t>BMRH INNER SPACERS NEW STANDARD</t>
  </si>
  <si>
    <t>WC/LLC/956100801</t>
  </si>
  <si>
    <t>FWD FLOTATION BAG - BAY MAINTENANCE</t>
  </si>
  <si>
    <t>WC/LLC/956100202</t>
  </si>
  <si>
    <t>WCR0164PTC</t>
  </si>
  <si>
    <t>WILDCAT AFT FLOTATION POD APPLICATION OF ANTI-CHAFE TAPE (INTERNALLY)</t>
  </si>
  <si>
    <t>WC/LLC/956100802</t>
  </si>
  <si>
    <t>AFT FLOTATION BAG - BAY MAINTENANCE</t>
  </si>
  <si>
    <t>WC/PMP/9561012</t>
  </si>
  <si>
    <t>FLOTATION SYSTEM - FUNCTION TEST ELECT CIRCUITS</t>
  </si>
  <si>
    <t>WC/PMP/9561013</t>
  </si>
  <si>
    <t>FLOT SYS FWD AND AFT PSU INLET PIPES - EXAMINE</t>
  </si>
  <si>
    <t>WC/PMP/9561015</t>
  </si>
  <si>
    <t>FLOT SYS FWD FLOT BAG MOUNTINGS - EXAMINE</t>
  </si>
  <si>
    <t>WC/PMP/9561017</t>
  </si>
  <si>
    <t>FLOT SYS AFT FLOT BAG MOUNTINGS - EXAMINE</t>
  </si>
  <si>
    <t>WC/LLC/956100301/2</t>
  </si>
  <si>
    <t>PORT AND STBD FWD FLOTATION BOTTLES</t>
  </si>
  <si>
    <t>WC/LLC/956100101</t>
  </si>
  <si>
    <t>WC/LLC/9561006/7XX</t>
  </si>
  <si>
    <t>LH/RH FWD/AFT FLOTATION VALVE</t>
  </si>
  <si>
    <t>WC/LLC/956100102</t>
  </si>
  <si>
    <t>WC/OHL/956100601/2</t>
  </si>
  <si>
    <t>LH/RH FWD FLOTATION BOTTLE</t>
  </si>
  <si>
    <t>WC/OHL/956100701/2</t>
  </si>
  <si>
    <t>LH/RH AFT FLOTATION BOTTLE</t>
  </si>
  <si>
    <t>WC/LLC/956100201</t>
  </si>
  <si>
    <t>WC/LLC/956100401/2</t>
  </si>
  <si>
    <t>PORT AND STBD AFT FLOTATION BOTTLES</t>
  </si>
  <si>
    <t>#</t>
  </si>
  <si>
    <t>Dashboard Settings</t>
  </si>
  <si>
    <t>Sort Order</t>
  </si>
  <si>
    <t>ZZ388</t>
  </si>
  <si>
    <t>ZZ388 Maintenance Forecast</t>
  </si>
  <si>
    <t>P4N115</t>
  </si>
  <si>
    <t>WC/OHL/DDE</t>
  </si>
  <si>
    <t>TW512618</t>
  </si>
  <si>
    <t>10-162246-03607</t>
  </si>
  <si>
    <t>TW512032</t>
  </si>
  <si>
    <t>DD538545</t>
  </si>
  <si>
    <t>AWTEMP/013</t>
  </si>
  <si>
    <t>AWTEMP/014</t>
  </si>
  <si>
    <t>GS507089</t>
  </si>
  <si>
    <t>BC507742W</t>
  </si>
  <si>
    <t>QV507279</t>
  </si>
  <si>
    <t>UN10120024</t>
  </si>
  <si>
    <t>VC090039</t>
  </si>
  <si>
    <t>JG14ANC480</t>
  </si>
  <si>
    <t>P4N139</t>
  </si>
  <si>
    <t>TW512525</t>
  </si>
  <si>
    <t>TW511983</t>
  </si>
  <si>
    <t>DD509184</t>
  </si>
  <si>
    <t>11-162246-00998</t>
  </si>
  <si>
    <t>10-162246-03647</t>
  </si>
  <si>
    <t>11P32567</t>
  </si>
  <si>
    <t>XK10677</t>
  </si>
  <si>
    <t>BC507769W</t>
  </si>
  <si>
    <t>QV507291</t>
  </si>
  <si>
    <t>UN11120010</t>
  </si>
  <si>
    <t>VC090317</t>
  </si>
  <si>
    <t>ZZ388MODS</t>
  </si>
  <si>
    <t>BAT1748</t>
  </si>
  <si>
    <t>BAT1833</t>
  </si>
  <si>
    <t>BAU4696</t>
  </si>
  <si>
    <t>AFJ2839</t>
  </si>
  <si>
    <t>AEX0171</t>
  </si>
  <si>
    <t>AFH8716</t>
  </si>
  <si>
    <t>BAT1791</t>
  </si>
  <si>
    <t>AEB5431</t>
  </si>
  <si>
    <t>ABG1711</t>
  </si>
  <si>
    <t>BAR9522</t>
  </si>
  <si>
    <t>PT3-H</t>
  </si>
  <si>
    <t>DEFERRED FAULT - LEAK TO BE MONITORED, FURTHER INSPECTIONS TO BE CONDUCTED ON CONDITION. LEAK TO BE MONITORED EVERY DFS/TFS AGAINST MF737 FOR ABNORMAL OIL USAGE. QQDSL-E</t>
  </si>
  <si>
    <t>WA/R/ACT2913</t>
  </si>
  <si>
    <t>BAT0650</t>
  </si>
  <si>
    <t>ADN3158</t>
  </si>
  <si>
    <t>AEA7605</t>
  </si>
  <si>
    <t>BAR8789</t>
  </si>
  <si>
    <t>WC/PMP/7510001</t>
  </si>
  <si>
    <t>ENGINE AIR - TORQUE CHECK (PRE-MOD W1026/L2884 ONLY)</t>
  </si>
  <si>
    <t>WC/MISC06</t>
  </si>
  <si>
    <t>Check torque of Engine air bleed duct post installation.</t>
  </si>
  <si>
    <t>BAM3208</t>
  </si>
  <si>
    <t>PJE0372</t>
  </si>
  <si>
    <t>ADF3989</t>
  </si>
  <si>
    <t>AFJ3019</t>
  </si>
  <si>
    <t>ADY8881</t>
  </si>
  <si>
    <t>LAA9667</t>
  </si>
  <si>
    <t>BAL3173</t>
  </si>
  <si>
    <t>WC/MISC06/1</t>
  </si>
  <si>
    <t>DEFERRED FAULT - NO.1 ENGINE OUTBOARD LINK TO BE REPLACED AFTER 146:18HH TO ALIGN WITH WC/LLC/630000069/1 AT 1789:17 AF HOURS. QQOOL-A</t>
  </si>
  <si>
    <t>BAR9592</t>
  </si>
  <si>
    <t>S00049</t>
  </si>
  <si>
    <t>TAA3964</t>
  </si>
  <si>
    <t>PZL0123</t>
  </si>
  <si>
    <t>AAA108P742</t>
  </si>
  <si>
    <t>ADA745-1-029</t>
  </si>
  <si>
    <t>ADA745-1-035</t>
  </si>
  <si>
    <t>S00040M</t>
  </si>
  <si>
    <t>LFA7130</t>
  </si>
  <si>
    <t>LFA7166</t>
  </si>
  <si>
    <t>LK0205</t>
  </si>
  <si>
    <t>LK0243</t>
  </si>
  <si>
    <t>LK0206</t>
  </si>
  <si>
    <t>DEFERRED FAULT - MEASUREMENTS TO BE TAKEN OF THE COMBUSTION CASE DRAIN ORIFICE AT NEXT ENGINE LIFT TO FACILITATE DT INSPECTIONS. ENGINE CONCESSION CON/WC/007/25 REFERS. TQ'S- 037862 FIVES AUTHORITY FOR CONTINUED OPERATIONS OF ENGINE P4N139</t>
  </si>
  <si>
    <t>FYH199875</t>
  </si>
  <si>
    <t>FYH204442</t>
  </si>
  <si>
    <t>PJB1278</t>
  </si>
  <si>
    <t>FRA0053</t>
  </si>
  <si>
    <t>FRA0051</t>
  </si>
  <si>
    <t>LK2720</t>
  </si>
  <si>
    <t>LK2721</t>
  </si>
  <si>
    <t>LK2722</t>
  </si>
  <si>
    <t>LK2723</t>
  </si>
  <si>
    <t>FRA1280</t>
  </si>
  <si>
    <t>RED3701</t>
  </si>
  <si>
    <t>BAN2984</t>
  </si>
  <si>
    <t>LK0594</t>
  </si>
  <si>
    <t>NRC1813</t>
  </si>
  <si>
    <t>NRC1815</t>
  </si>
  <si>
    <t>NRC1812</t>
  </si>
  <si>
    <t>FYH202972</t>
  </si>
  <si>
    <t>AEX2688</t>
  </si>
  <si>
    <t>NRC0693</t>
  </si>
  <si>
    <t>NRC1427</t>
  </si>
  <si>
    <t>NRA8480</t>
  </si>
  <si>
    <t>LK0753</t>
  </si>
  <si>
    <t>LK0751</t>
  </si>
  <si>
    <t>LK0861</t>
  </si>
  <si>
    <t>LK0882</t>
  </si>
  <si>
    <t>BAH0001</t>
  </si>
  <si>
    <t>AFF3264</t>
  </si>
  <si>
    <t>TBW9635</t>
  </si>
  <si>
    <t>TBW9636</t>
  </si>
  <si>
    <t>BAH0294</t>
  </si>
  <si>
    <t>11-18-270</t>
  </si>
  <si>
    <t>BAR7403</t>
  </si>
  <si>
    <t>BAH0597</t>
  </si>
  <si>
    <t>BAH0596</t>
  </si>
  <si>
    <t>BAH0594</t>
  </si>
  <si>
    <t>LK0178</t>
  </si>
  <si>
    <t>LK0307</t>
  </si>
  <si>
    <t>LK0177</t>
  </si>
  <si>
    <t>LK0301</t>
  </si>
  <si>
    <t>AEE7825</t>
  </si>
  <si>
    <t>BAU9963</t>
  </si>
  <si>
    <t>BAU9964</t>
  </si>
  <si>
    <t>BAU9966</t>
  </si>
  <si>
    <t>BAU9968</t>
  </si>
  <si>
    <t>BAU9970</t>
  </si>
  <si>
    <t>BAU9984</t>
  </si>
  <si>
    <t>BAU9992</t>
  </si>
  <si>
    <t>BAU9993</t>
  </si>
  <si>
    <t>NRC3821</t>
  </si>
  <si>
    <t>FRA1708</t>
  </si>
  <si>
    <t>FRA1688</t>
  </si>
  <si>
    <t>5025JS</t>
  </si>
  <si>
    <t>5012NL</t>
  </si>
  <si>
    <t>5042SL</t>
  </si>
  <si>
    <t>5087LX</t>
  </si>
  <si>
    <t>LAA2726</t>
  </si>
  <si>
    <t>NRA2600</t>
  </si>
  <si>
    <t>BAR7853</t>
  </si>
  <si>
    <t>BAE5758</t>
  </si>
  <si>
    <t>BAE5792</t>
  </si>
  <si>
    <t>BAE5752</t>
  </si>
  <si>
    <t>BAE5793</t>
  </si>
  <si>
    <t>BAP5618</t>
  </si>
  <si>
    <t>TAG6881</t>
  </si>
  <si>
    <t>NRB6243</t>
  </si>
  <si>
    <t>JG08ANR236</t>
  </si>
  <si>
    <t>JG11ANR431</t>
  </si>
  <si>
    <t>JNA1664</t>
  </si>
  <si>
    <t>JG11ANR492</t>
  </si>
  <si>
    <t>JNA4736</t>
  </si>
  <si>
    <t>RED0851</t>
  </si>
  <si>
    <t>JG12ANR636</t>
  </si>
  <si>
    <t>BAW1646</t>
  </si>
  <si>
    <t>JNA2870</t>
  </si>
  <si>
    <t>JNA2991</t>
  </si>
  <si>
    <t>JNA2872</t>
  </si>
  <si>
    <t>JNA2871</t>
  </si>
  <si>
    <t>BAU8040</t>
  </si>
  <si>
    <t>BAW1644</t>
  </si>
  <si>
    <t>BAW1645</t>
  </si>
  <si>
    <t>FAA8629</t>
  </si>
  <si>
    <t>FAA8696</t>
  </si>
  <si>
    <t>FAA8640</t>
  </si>
  <si>
    <t>FAA8661</t>
  </si>
  <si>
    <t>FRA1549</t>
  </si>
  <si>
    <t>TBW9757</t>
  </si>
  <si>
    <t>TBW9764</t>
  </si>
  <si>
    <t>5039KA</t>
  </si>
  <si>
    <t>5059LA</t>
  </si>
  <si>
    <t>LXGC4360</t>
  </si>
  <si>
    <t>INST ENGINE CABLES -INCORRECT SEALANT USED</t>
  </si>
  <si>
    <t>LXG0868</t>
  </si>
  <si>
    <t>BMRH IMPROVED CORROSION PROTECTION TO SEAL RETAINE</t>
  </si>
  <si>
    <t>WT-SCD-028</t>
  </si>
  <si>
    <t>WT-PCD-027</t>
  </si>
  <si>
    <t>WT-SCABD-028</t>
  </si>
  <si>
    <t>WT-PCABD-027</t>
  </si>
  <si>
    <t>LIMITATION - NO LIVE COUNTERMEASURES TO BE LOADED INTO THE CMDS. CMDS SYSTEM 14-DAY FUNCTIONAL TEST NOT CARRIED OUT. GO7 ANNEX H REFERS</t>
  </si>
  <si>
    <t>DEFERRED FAULT - PILOTS COCKPIT DOOR PT NO: WG1510-5232-06952 NSN: 1560-99-2584501 TO BE REPLACED OROS. DELAMINATION TO BE CHECKED EVERY TFS FOR FURTHER PROPAGATION. QQDSL-A.</t>
  </si>
  <si>
    <t>CS0318</t>
  </si>
  <si>
    <t>WCR0152PTE</t>
  </si>
  <si>
    <t>Z0209</t>
  </si>
  <si>
    <t>AAL03040</t>
  </si>
  <si>
    <t>0069HF</t>
  </si>
  <si>
    <t>AFQ322</t>
  </si>
  <si>
    <t>LX483</t>
  </si>
  <si>
    <t>0527HF</t>
  </si>
  <si>
    <t>AFC00151</t>
  </si>
  <si>
    <t>AFC00161</t>
  </si>
  <si>
    <t>ACF00193</t>
  </si>
  <si>
    <t>LX502</t>
  </si>
  <si>
    <t>AFQ321</t>
  </si>
  <si>
    <t>AFT122</t>
  </si>
  <si>
    <t>HH 70</t>
  </si>
  <si>
    <t>Cycle Week</t>
  </si>
  <si>
    <t>Secure sheets - VBA may need slight changes to allow access to protected worksheets temporarily</t>
  </si>
  <si>
    <t>17974:24</t>
  </si>
  <si>
    <t>17579:47</t>
  </si>
  <si>
    <t>18817:36</t>
  </si>
  <si>
    <t>JG10ANC198</t>
  </si>
  <si>
    <t>19950:42</t>
  </si>
  <si>
    <t>18318:14</t>
  </si>
  <si>
    <t>17890:21</t>
  </si>
  <si>
    <t>17216:44</t>
  </si>
  <si>
    <t>18313:06</t>
  </si>
  <si>
    <t>19200:10</t>
  </si>
  <si>
    <t>19810:10</t>
  </si>
  <si>
    <t>17845:17</t>
  </si>
  <si>
    <t>18216:28</t>
  </si>
  <si>
    <t>18587:44</t>
  </si>
  <si>
    <t>18307:51</t>
  </si>
  <si>
    <t>18343:16</t>
  </si>
  <si>
    <t>17307:51</t>
  </si>
  <si>
    <t>10307:51</t>
  </si>
  <si>
    <t>498307:51</t>
  </si>
  <si>
    <t>DONOTUSE - CANCELLED - CABIN DOOR LATCH - FUNCTIONAL CHECK</t>
  </si>
  <si>
    <t>WCAHECAMO26008</t>
  </si>
  <si>
    <t>INSPECTION FOR CORRECT LOCKING OF COLLECTIVE 6 CONTROL ROD</t>
  </si>
  <si>
    <t>15202:36</t>
  </si>
  <si>
    <t>29329:11</t>
  </si>
  <si>
    <t>10880:25</t>
  </si>
  <si>
    <t>19108:08</t>
  </si>
  <si>
    <t>19701:45</t>
  </si>
  <si>
    <t>18536:15</t>
  </si>
  <si>
    <t>998598:03</t>
  </si>
  <si>
    <t>18597:40</t>
  </si>
  <si>
    <t>698598:03</t>
  </si>
  <si>
    <t>18510:44</t>
  </si>
  <si>
    <t>18597:41</t>
  </si>
  <si>
    <t>18996:40</t>
  </si>
  <si>
    <t>11097:38</t>
  </si>
  <si>
    <t>13303:34</t>
  </si>
  <si>
    <t>18996:41</t>
  </si>
  <si>
    <t>19269:37</t>
  </si>
  <si>
    <t>1998598:03</t>
  </si>
  <si>
    <t>1418598:03</t>
  </si>
  <si>
    <t>10931:12</t>
  </si>
  <si>
    <t>11538:04</t>
  </si>
  <si>
    <t>11551:37</t>
  </si>
  <si>
    <t>17681:25</t>
  </si>
  <si>
    <t>10280:56</t>
  </si>
  <si>
    <t>17879:43</t>
  </si>
  <si>
    <t>49701:45</t>
  </si>
  <si>
    <t>WC/OHL/945200101</t>
  </si>
  <si>
    <t>MOUNTING BUFFER BAY MAINTENANCE</t>
  </si>
  <si>
    <t>ARM104</t>
  </si>
  <si>
    <t>WC/PMP/9452002</t>
  </si>
  <si>
    <t>MOUNTING BUFFER INSP/MAINT - IAW AESP 1005-N-510-602 TABLE 2</t>
  </si>
  <si>
    <t>13442:13</t>
  </si>
  <si>
    <t>14088:11</t>
  </si>
  <si>
    <t>11850:09</t>
  </si>
  <si>
    <t>19421:52</t>
  </si>
  <si>
    <t>11458:08</t>
  </si>
  <si>
    <t>13969:27</t>
  </si>
  <si>
    <t>18378:25</t>
  </si>
  <si>
    <t>15004:43</t>
  </si>
  <si>
    <t>18858:16</t>
  </si>
  <si>
    <t>19012:05</t>
  </si>
  <si>
    <t>13776:49</t>
  </si>
  <si>
    <t>18745:19</t>
  </si>
  <si>
    <t>18857:40</t>
  </si>
  <si>
    <t>10192:25</t>
  </si>
  <si>
    <t>19858:03</t>
  </si>
  <si>
    <t>18534:25</t>
  </si>
  <si>
    <t>BAG0499</t>
  </si>
  <si>
    <t>19722:58</t>
  </si>
  <si>
    <t>19421:51</t>
  </si>
  <si>
    <t>17755:24</t>
  </si>
  <si>
    <t>19232:20</t>
  </si>
  <si>
    <t>19421:49</t>
  </si>
  <si>
    <t>14945:25</t>
  </si>
  <si>
    <t>19259:55</t>
  </si>
  <si>
    <t>10647:47</t>
  </si>
  <si>
    <t>BAP6957</t>
  </si>
  <si>
    <t>19058:40</t>
  </si>
  <si>
    <t>19421:50</t>
  </si>
  <si>
    <t>17368:19</t>
  </si>
  <si>
    <t>11163:09</t>
  </si>
  <si>
    <t>18910:32</t>
  </si>
  <si>
    <t>11465:09</t>
  </si>
  <si>
    <t>19088:49</t>
  </si>
  <si>
    <t>11895:10</t>
  </si>
  <si>
    <t>11320:21</t>
  </si>
  <si>
    <t>19984:55</t>
  </si>
  <si>
    <t>19920:05</t>
  </si>
  <si>
    <t>WCGW1061</t>
  </si>
  <si>
    <t>INTRODUCTION OF INTEGRATED DISPLAY UNIT 787SUE3-3</t>
  </si>
  <si>
    <t>LA0285</t>
  </si>
  <si>
    <t>WCR0201PTB</t>
  </si>
  <si>
    <t>FUSELAGE FAIRINGS 492AL, 492DL AND 492EL - FASTENER RETENTION IMPROVEMENT</t>
  </si>
  <si>
    <t>LA0392</t>
  </si>
  <si>
    <t>LA0707</t>
  </si>
  <si>
    <t>LA0691</t>
  </si>
  <si>
    <t>WC/OHL/945200101/1</t>
  </si>
  <si>
    <t>WC/GPMG/BEAM/RF</t>
  </si>
  <si>
    <t>ROUNDS FIRED FOR RECORDING PURPOSES ONLY</t>
  </si>
  <si>
    <t>WC/M3M/BEAM</t>
  </si>
  <si>
    <t>HMG BEAM ASSEMBLY</t>
  </si>
  <si>
    <t>WCR0201PTA</t>
  </si>
  <si>
    <t>ADM06</t>
  </si>
  <si>
    <t>ANTI-DETERIORATION MAINTENANCE - 6 MONTH</t>
  </si>
  <si>
    <t>ADM12</t>
  </si>
  <si>
    <t>ANTI-DETERIORATION MAINTENANCE - 12 MONTHS</t>
  </si>
  <si>
    <t>WC/PMP/2900012</t>
  </si>
  <si>
    <t>HYD SYS FLEXIBLE HOSES IVE</t>
  </si>
  <si>
    <t>WC/PMP/5511003/1</t>
  </si>
  <si>
    <t>WC/PMP/5321006/1</t>
  </si>
  <si>
    <t>Down Maintenance</t>
  </si>
  <si>
    <t>MRA Cx</t>
  </si>
  <si>
    <t>Down</t>
  </si>
  <si>
    <t>Down Maint: MRA Cx</t>
  </si>
  <si>
    <t>ETBOL: 21/07</t>
  </si>
  <si>
    <t>HH 25: 3
HH 150: 4
HH 600: 1
+ 6 more...</t>
  </si>
  <si>
    <t>HH 70: 1
HH 50: 1
HH 25: 1
+ 3 more...</t>
  </si>
  <si>
    <t>19999:25</t>
  </si>
  <si>
    <t>TW512550</t>
  </si>
  <si>
    <t>TW511955</t>
  </si>
  <si>
    <t>DD538180</t>
  </si>
  <si>
    <t>18341:37</t>
  </si>
  <si>
    <t>VC090212</t>
  </si>
  <si>
    <t>18545:24</t>
  </si>
  <si>
    <t>JG13ANC394</t>
  </si>
  <si>
    <t>19487:35</t>
  </si>
  <si>
    <t>17051:36</t>
  </si>
  <si>
    <t>P4N125</t>
  </si>
  <si>
    <t>10-162246-03627</t>
  </si>
  <si>
    <t>07P03485</t>
  </si>
  <si>
    <t>17329:15</t>
  </si>
  <si>
    <t>XK10636</t>
  </si>
  <si>
    <t>BC507748W</t>
  </si>
  <si>
    <t>QV507277</t>
  </si>
  <si>
    <t>UN10430001</t>
  </si>
  <si>
    <t>17402:40</t>
  </si>
  <si>
    <t>P4N195</t>
  </si>
  <si>
    <t>13-162053-53834</t>
  </si>
  <si>
    <t>10-162246-03610</t>
  </si>
  <si>
    <t>13-162246-05372</t>
  </si>
  <si>
    <t>13P58320</t>
  </si>
  <si>
    <t>ELT10163</t>
  </si>
  <si>
    <t>TW525130</t>
  </si>
  <si>
    <t>DD555974</t>
  </si>
  <si>
    <t>XK11367</t>
  </si>
  <si>
    <t>BC507909W</t>
  </si>
  <si>
    <t>QV509027</t>
  </si>
  <si>
    <t>UN13060009</t>
  </si>
  <si>
    <t>18431:50</t>
  </si>
  <si>
    <t>VC090034</t>
  </si>
  <si>
    <t>17518:12</t>
  </si>
  <si>
    <t>JG10ANC205</t>
  </si>
  <si>
    <t>49468:41</t>
  </si>
  <si>
    <t>ABH8183</t>
  </si>
  <si>
    <t>WC/PMP/2511021</t>
  </si>
  <si>
    <t>INTENSIVE VISUAL EXAMINATION CREW SEAT VLEA CABLE</t>
  </si>
  <si>
    <t>S00002</t>
  </si>
  <si>
    <t>17953:14</t>
  </si>
  <si>
    <t>JG10ANR353</t>
  </si>
  <si>
    <t>10912:46</t>
  </si>
  <si>
    <t>5020KX</t>
  </si>
  <si>
    <t>10696:59</t>
  </si>
  <si>
    <t>AAA020P742</t>
  </si>
  <si>
    <t>S00043</t>
  </si>
  <si>
    <t>PT.3 ASSOCIATED - 1FL STRUCURAL SUPPORT BRACKET P/N:WG1510-2215-101S1, NSN:5340-99-6716485 IVE TBCO IAW C00-00-00-06-006A-A</t>
  </si>
  <si>
    <t>17967:11</t>
  </si>
  <si>
    <t>17982:16</t>
  </si>
  <si>
    <t>16967:11</t>
  </si>
  <si>
    <t>497967:11</t>
  </si>
  <si>
    <t>17966:51</t>
  </si>
  <si>
    <t>ZZ382MODS</t>
  </si>
  <si>
    <t>NFA0382</t>
  </si>
  <si>
    <t>NFA0383</t>
  </si>
  <si>
    <t>FAA8337</t>
  </si>
  <si>
    <t>FAA8341</t>
  </si>
  <si>
    <t>14861:56</t>
  </si>
  <si>
    <t>BAR8321</t>
  </si>
  <si>
    <t>BAR8324</t>
  </si>
  <si>
    <t>FRA1577</t>
  </si>
  <si>
    <t>FRA1324</t>
  </si>
  <si>
    <t>FRA1578</t>
  </si>
  <si>
    <t>FRA1325</t>
  </si>
  <si>
    <t>28767:11</t>
  </si>
  <si>
    <t>FRA1575</t>
  </si>
  <si>
    <t>FRA1128</t>
  </si>
  <si>
    <t>5023MS</t>
  </si>
  <si>
    <t>LFA7394</t>
  </si>
  <si>
    <t>LFA7395</t>
  </si>
  <si>
    <t>19440:28</t>
  </si>
  <si>
    <t>JG13ANR684</t>
  </si>
  <si>
    <t>14AE064</t>
  </si>
  <si>
    <t>12643:00</t>
  </si>
  <si>
    <t>LAB0012</t>
  </si>
  <si>
    <t>LAB0013</t>
  </si>
  <si>
    <t>NRA8051</t>
  </si>
  <si>
    <t>NRA8047</t>
  </si>
  <si>
    <t>BAT1823</t>
  </si>
  <si>
    <t>999557:03</t>
  </si>
  <si>
    <t>BAT7891</t>
  </si>
  <si>
    <t>998330:23</t>
  </si>
  <si>
    <t>18330:26</t>
  </si>
  <si>
    <t>698330:23</t>
  </si>
  <si>
    <t>18243:30</t>
  </si>
  <si>
    <t>18330:28</t>
  </si>
  <si>
    <t>10408:46</t>
  </si>
  <si>
    <t>18330:27</t>
  </si>
  <si>
    <t>10707:43</t>
  </si>
  <si>
    <t>12350:52</t>
  </si>
  <si>
    <t>19557:03</t>
  </si>
  <si>
    <t>18059:47</t>
  </si>
  <si>
    <t>18053:57</t>
  </si>
  <si>
    <t>1998060:23</t>
  </si>
  <si>
    <t>998060:23</t>
  </si>
  <si>
    <t>17716:21</t>
  </si>
  <si>
    <t>1418331:27</t>
  </si>
  <si>
    <t>TBW9838</t>
  </si>
  <si>
    <t>10776:20</t>
  </si>
  <si>
    <t>5806NU</t>
  </si>
  <si>
    <t>WC/LLC/550000001/2</t>
  </si>
  <si>
    <t>TAILPLANE POST-MOD W1002A - FAGITUE LIFE</t>
  </si>
  <si>
    <t>PZL0058</t>
  </si>
  <si>
    <t>BAU1845</t>
  </si>
  <si>
    <t>LK0546</t>
  </si>
  <si>
    <t>18266:29</t>
  </si>
  <si>
    <t>LK0551</t>
  </si>
  <si>
    <t>BAU6920</t>
  </si>
  <si>
    <t>10806:34</t>
  </si>
  <si>
    <t>5032QD</t>
  </si>
  <si>
    <t>18702:10</t>
  </si>
  <si>
    <t>WA/R/AAM5842</t>
  </si>
  <si>
    <t>19342:19</t>
  </si>
  <si>
    <t>19233:37</t>
  </si>
  <si>
    <t>19178:37</t>
  </si>
  <si>
    <t>ADR1849</t>
  </si>
  <si>
    <t>18893:12</t>
  </si>
  <si>
    <t>BAF2359</t>
  </si>
  <si>
    <t>18851:58</t>
  </si>
  <si>
    <t>BAK6738</t>
  </si>
  <si>
    <t>11448:07</t>
  </si>
  <si>
    <t>ACK5789</t>
  </si>
  <si>
    <t>AFD0047</t>
  </si>
  <si>
    <t>ADF6532</t>
  </si>
  <si>
    <t>17393:03</t>
  </si>
  <si>
    <t>JG09ANR270</t>
  </si>
  <si>
    <t>FYH202954</t>
  </si>
  <si>
    <t>17005:57</t>
  </si>
  <si>
    <t>WC/LLC/620000025/01</t>
  </si>
  <si>
    <t>TAC6889</t>
  </si>
  <si>
    <t>10211:04</t>
  </si>
  <si>
    <t>BAR1990</t>
  </si>
  <si>
    <t>12477:00</t>
  </si>
  <si>
    <t>BAR1969</t>
  </si>
  <si>
    <t>14076:46</t>
  </si>
  <si>
    <t>BAP5941</t>
  </si>
  <si>
    <t>939360:23</t>
  </si>
  <si>
    <t>AEW5751</t>
  </si>
  <si>
    <t>11024:08</t>
  </si>
  <si>
    <t>BAL6297</t>
  </si>
  <si>
    <t>ACX4963</t>
  </si>
  <si>
    <t>10563:51</t>
  </si>
  <si>
    <t>BAM8416</t>
  </si>
  <si>
    <t>FYH198451</t>
  </si>
  <si>
    <t>FYH199531</t>
  </si>
  <si>
    <t>BAP7449</t>
  </si>
  <si>
    <t>NRA8472</t>
  </si>
  <si>
    <t>19952:46</t>
  </si>
  <si>
    <t>NRA8482</t>
  </si>
  <si>
    <t>BAT1763</t>
  </si>
  <si>
    <t>19496:17</t>
  </si>
  <si>
    <t>REC0163</t>
  </si>
  <si>
    <t>BAP4943</t>
  </si>
  <si>
    <t>BAT1214</t>
  </si>
  <si>
    <t>13236:38</t>
  </si>
  <si>
    <t>WA/R/BAU2098</t>
  </si>
  <si>
    <t>18351:25</t>
  </si>
  <si>
    <t>18463:46</t>
  </si>
  <si>
    <t>WC/PMP/6522003/1</t>
  </si>
  <si>
    <t>WC/PMP/6522004/1</t>
  </si>
  <si>
    <t>BAU6880</t>
  </si>
  <si>
    <t>BAN6650</t>
  </si>
  <si>
    <t>BAN2744</t>
  </si>
  <si>
    <t>BAN6628</t>
  </si>
  <si>
    <t>19688:23</t>
  </si>
  <si>
    <t>JNA3323</t>
  </si>
  <si>
    <t>NRC0619</t>
  </si>
  <si>
    <t>19032:18</t>
  </si>
  <si>
    <t>AEB5450</t>
  </si>
  <si>
    <t>16314:54</t>
  </si>
  <si>
    <t>13895:37</t>
  </si>
  <si>
    <t>TAL7868</t>
  </si>
  <si>
    <t>17782:37</t>
  </si>
  <si>
    <t>17782:19</t>
  </si>
  <si>
    <t>TAJ4282</t>
  </si>
  <si>
    <t>TAC8630</t>
  </si>
  <si>
    <t>TAC5030</t>
  </si>
  <si>
    <t>TAG3751</t>
  </si>
  <si>
    <t>BAH0726</t>
  </si>
  <si>
    <t>BAH0725</t>
  </si>
  <si>
    <t>BAH0724</t>
  </si>
  <si>
    <t>19027:55</t>
  </si>
  <si>
    <t>BAK6649</t>
  </si>
  <si>
    <t>18376:58</t>
  </si>
  <si>
    <t>BAK6676</t>
  </si>
  <si>
    <t>15037:19</t>
  </si>
  <si>
    <t>BAE5634</t>
  </si>
  <si>
    <t>BAE6000</t>
  </si>
  <si>
    <t>BAG6310</t>
  </si>
  <si>
    <t>BAE6016</t>
  </si>
  <si>
    <t>BAE5630</t>
  </si>
  <si>
    <t>BAE6004</t>
  </si>
  <si>
    <t>BAE5605</t>
  </si>
  <si>
    <t>BAE6002</t>
  </si>
  <si>
    <t>BAH0339</t>
  </si>
  <si>
    <t>BAH0018</t>
  </si>
  <si>
    <t>TAP5572</t>
  </si>
  <si>
    <t>15284:45</t>
  </si>
  <si>
    <t>WC/LLC/650000006/02</t>
  </si>
  <si>
    <t>TAIL ROTOR DRIVE SHAFT NO 1</t>
  </si>
  <si>
    <t>BAR2692</t>
  </si>
  <si>
    <t>BAP0919</t>
  </si>
  <si>
    <t>BAN5620</t>
  </si>
  <si>
    <t>FAA8656</t>
  </si>
  <si>
    <t>NRC1578</t>
  </si>
  <si>
    <t>LAA9666</t>
  </si>
  <si>
    <t>LAA9662</t>
  </si>
  <si>
    <t>LAA9664</t>
  </si>
  <si>
    <t>19828:00</t>
  </si>
  <si>
    <t>JNA4044</t>
  </si>
  <si>
    <t>11-18-266</t>
  </si>
  <si>
    <t>BAR0285</t>
  </si>
  <si>
    <t>19003:46</t>
  </si>
  <si>
    <t>FAA8686</t>
  </si>
  <si>
    <t>LK0643</t>
  </si>
  <si>
    <t>LK2423</t>
  </si>
  <si>
    <t>LK2427</t>
  </si>
  <si>
    <t>LK2431</t>
  </si>
  <si>
    <t>LK0768</t>
  </si>
  <si>
    <t>LK0789</t>
  </si>
  <si>
    <t>LK0798</t>
  </si>
  <si>
    <t>LK0842</t>
  </si>
  <si>
    <t>LK2433</t>
  </si>
  <si>
    <t>ACQ150-1-021</t>
  </si>
  <si>
    <t>BAY9902</t>
  </si>
  <si>
    <t>ACU565-1-025</t>
  </si>
  <si>
    <t>LK0573</t>
  </si>
  <si>
    <t>LK0612</t>
  </si>
  <si>
    <t>RED6773</t>
  </si>
  <si>
    <t>LK0568</t>
  </si>
  <si>
    <t>LK0562</t>
  </si>
  <si>
    <t>NRA8487</t>
  </si>
  <si>
    <t>ACX5041</t>
  </si>
  <si>
    <t>19164:46</t>
  </si>
  <si>
    <t>JG12ANR602</t>
  </si>
  <si>
    <t>19991:45</t>
  </si>
  <si>
    <t>19883:56</t>
  </si>
  <si>
    <t>5063LP</t>
  </si>
  <si>
    <t>5045QJ</t>
  </si>
  <si>
    <t>WCGW1035</t>
  </si>
  <si>
    <t>CREW SEAT IMPROVEMENTS.</t>
  </si>
  <si>
    <t>WCGW1013</t>
  </si>
  <si>
    <t>Wildcat Nav Lights - Improved Electrical Bonding.</t>
  </si>
  <si>
    <t>WCGW1028</t>
  </si>
  <si>
    <t>Wildcat Improved IGB Fairing Oil Access.</t>
  </si>
  <si>
    <t>WC/LH/13</t>
  </si>
  <si>
    <t>LA0663</t>
  </si>
  <si>
    <t>LA0692</t>
  </si>
  <si>
    <t>LA0639</t>
  </si>
  <si>
    <t>LXGC4424</t>
  </si>
  <si>
    <t>CHANGE OF HOUSING MANUFACTURING MATERIAL</t>
  </si>
  <si>
    <t>LXG0918PTD</t>
  </si>
  <si>
    <t>(ROOT END FITTING) ALSO IDENTIFIED AS L1995</t>
  </si>
  <si>
    <t>LA0676</t>
  </si>
  <si>
    <t>LXG0867</t>
  </si>
  <si>
    <t>INTRO REVISED MRH SPIDER CONTROL ASSEMBLY</t>
  </si>
  <si>
    <t>WC/RH/26</t>
  </si>
  <si>
    <t>WT-PCABD-015</t>
  </si>
  <si>
    <t>WT-SCABD-026</t>
  </si>
  <si>
    <t>DEFERRED FAULT - ACTIONS FROM TQ 038979 TO BE CARRIED OUT. (CLEAN + INSPECT STBD LOWER VERTICAL FACE). (RECOVER DAMAGE + NDT PORT I-BEAM LOWER POCKET) (CLEAN AND INSPECT + - FULL DETAILS IN PT3 COMMENTS + TQ 038979 RESPONSE. QQOOL-E.</t>
  </si>
  <si>
    <t>DEFERRED FAULT - PLASTIC STRIP TO BE INSTALLED ON RECEIPT OF SPARES. QQAGS-A</t>
  </si>
  <si>
    <t>DEFERRED FAULT - SERIAL NUMBERS TO BE RECORDED NEXT IN DEPTH MAINTENANCE OPPURTUNITY. QQOTH-E</t>
  </si>
  <si>
    <t>DEFERRED FAULT - RTV TO BE INSPECTED EVERY TFS FOR DETERIOATION &amp; REAPPLIED UNTIL 1.  L/H FINDS A PERMANENT SOLUTION TQ 018819 &amp; 022959 REFER OR 2. COCKPIT WATER INTEGRITY IS COMPROMISED THROUGH INEFFECTIVE SEALING . NIL IMPACT ON FIT, FORM OR FUNCTION. Q</t>
  </si>
  <si>
    <t>DEFERRED FAULT - CO-PILOTS DOOR APERTURE SEAL TO BE REPLACED OROS IAW TQS31400 &amp; C53-18-06-00-920A-A. P/N:WG1510-2233-009, NSN:5999-99-1785179.
QQEVN-A</t>
  </si>
  <si>
    <t>DEFERRED FAULT - AVIONIC DOOR (111FL) SUPPORT STRUT MOUNTING BRACKET 
P/N:WG1510-2215-101S1, NSN:5340-99-6716485 
TO BE REPLACED OROS. CHECK FOR STRUCTURAL INTEGRITY AND FUNCTIONALITY OF STRUT EVERY 50HH
QQOOL-A</t>
  </si>
  <si>
    <t>DEFERRED FAULT - FORE/AFT MRH ACTUATOR TO BE REPLACED OROS P/N: 5353H3 
NSN: 1680-99-9900066 MRA BOOT TO BE CHECKED EVERY DFS/TFS FOR FURTHER DETACHMENT OF BOOT
QQOOL-A</t>
  </si>
  <si>
    <t>DEFERRED FAULT - CO-PILOTS COCKPIT DOOR SLIDING WINDOW PN:WG1510-0602-001 NSN:1560-99-4490723 TO BE REPLACED ON RECEIPT OF SPARES. QQOOL-A</t>
  </si>
  <si>
    <t>DEFERRED FAULT - STBD CABIN DOOR (P/N WG1519-0001-05452, NSN 1569-99-3641750) TO BE REPLACED ON RECEIPT OF SPARES. PRC TO BE CHECKED FOR INTEGRITY EVERY TFS. QQOOL-A</t>
  </si>
  <si>
    <t>DEFERRED FAULT - DAPU BEACON BATTERY (P/N: 810-2042/K, NSN: 6135-01-6560761) TO BE REPLACED ON RECEIPT OF SPARES, QQDEV-A.</t>
  </si>
  <si>
    <t>DEFERRED FAULT - PILOTS COCKPIT DOOR TO BE REPLACED ON RECEIPT OF SPARES. QQOOL-A</t>
  </si>
  <si>
    <t>WC/PMP/5044004</t>
  </si>
  <si>
    <t>SACRU LUBRICATE</t>
  </si>
  <si>
    <t>DCA087</t>
  </si>
  <si>
    <t>WC/PMP/5044005</t>
  </si>
  <si>
    <t>SACRU VISUAL EXAMINATION</t>
  </si>
  <si>
    <t>WC/PMP/5044006</t>
  </si>
  <si>
    <t>SACRU FUNCTIONAL TEST</t>
  </si>
  <si>
    <t>LIMITATION - NO LIVE COUNTERMEASURES TO BE LOADED INTO CMDS. CMDS SYSTEM 14- DAY FUNCTIONAL TEST NOT CARRIED OUT. GO7 ANNEX H REFERS.</t>
  </si>
  <si>
    <t>DEFERRED FAULT - IRATHANE COATING TO BE REPAIRED FROM 5TH OCTOBER WHEN SPRAY BAY HAVE AVAILABILITY AND A/C IS DOWN FOR I-BEAM RECTIFICATION. QQOOL-E</t>
  </si>
  <si>
    <t>DEFERRED FAULT - AREA TO BE REPAIRED BY SPRAY BAY FROM 5TH OCTOBER WHEN SPRAY BAY HAVE AVAILABITY AND A/C IS DOWN FOR I-BEAM RECTIFICATION.
QQNDL-C</t>
  </si>
  <si>
    <t>DEFERRED FAULT - STBD SCORCH GUARD P/NO: WG1550-0028-042, NSN: 1560-99-2135314 TO BE REPLACED ON RECEIPT OF SPARES. TO BE INSPECTED EVERY TFS/DFS FOR PROPAGATION QQDSL-E</t>
  </si>
  <si>
    <t>Z0742</t>
  </si>
  <si>
    <t>DEFERRED FAULT - TYPE 1 REPAIR TO BE CONDUCTED ON 17 AUG 26. TO BE CHECKED FOR PROPAGATION, CRACKING OR FURTHER DAMAGE ON EVERY TFS. QQOOL</t>
  </si>
  <si>
    <t>B06209</t>
  </si>
  <si>
    <t>WC/LLC/435100001/2/3</t>
  </si>
  <si>
    <t>NO1, NO2 , NO3 KY100 MTU BATTERIES</t>
  </si>
  <si>
    <t>WC/OHL/504400101</t>
  </si>
  <si>
    <t>SACRU BAY MAINTENANCE</t>
  </si>
  <si>
    <t>AAL05212</t>
  </si>
  <si>
    <t>CT0957</t>
  </si>
  <si>
    <t>WT-PCD-015</t>
  </si>
  <si>
    <t>0195HF</t>
  </si>
  <si>
    <t>WC/OHL/504400102</t>
  </si>
  <si>
    <t>SACRU NO2 MK1 AND MK3 INSTALLED/UNINSTALLED LIFE</t>
  </si>
  <si>
    <t>WCR0175PTB</t>
  </si>
  <si>
    <t>CO-PILOT PEDIAL ASSEMBLY - BOLT CONFIGURATION DISCREPANCY</t>
  </si>
  <si>
    <t>0220HF</t>
  </si>
  <si>
    <t>E1 200</t>
  </si>
  <si>
    <t>E1 170</t>
  </si>
  <si>
    <t>HH 2500</t>
  </si>
  <si>
    <t>E1 170: 1
HH 150: 1
HH 50: 1
+ 10 more...</t>
  </si>
  <si>
    <t>All aircraft have current SITS imports for this week.</t>
  </si>
  <si>
    <t>HH 25: 5
DD 28: 1
DD 365: 1</t>
  </si>
  <si>
    <t>HH 50: 1
HH 25: 3
HH 100: 1
+ 2 more...</t>
  </si>
  <si>
    <t>HH 100: 4
HH 25: 7
HH 600: 1
+ 7 more...</t>
  </si>
  <si>
    <t>HH 100: 13
DD 364: 2
DD 90: 3
+ 2 more...</t>
  </si>
  <si>
    <t>E1 173.92</t>
  </si>
  <si>
    <t>HH 125</t>
  </si>
  <si>
    <t>HH 100: 18
DD 91: 1</t>
  </si>
  <si>
    <t>E1 300: 1
E1 173.92: 1
HH 200: 3
+ 9 more...</t>
  </si>
  <si>
    <t>Chart - user needs an indication for WHEN an extension must be raised (currently it pushes the tasks but no indicator on original due date)</t>
  </si>
  <si>
    <t>Show hours/days pulled on chart comments (as well as percentage - this is already done)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</si>
</sst>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dd\ mmm\ yyyy"/>
    <numFmt numFmtId="166" formatCode="[h]:mm"/>
  </numFmts>
  <fonts count="34" x14ac:knownFonts="1">
    <font>
      <sz val="11"/>
      <color theme="1"/>
      <name val="Calibri"/>
      <family val="2"/>
      <charset val="1"/>
    </font>
    <font>
      <b/>
      <sz val="14"/>
      <color rgb="FF2F549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charset val="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i/>
      <sz val="10"/>
      <color rgb="FF595959"/>
      <name val="Arial"/>
      <family val="2"/>
    </font>
    <font>
      <b/>
      <sz val="11"/>
      <color rgb="FFFFFFFF"/>
      <name val="Calibri"/>
      <family val="2"/>
      <charset val="1"/>
    </font>
    <font>
      <b/>
      <sz val="11"/>
      <color rgb="FFFFFFFF"/>
      <name val="Calibri"/>
      <family val="2"/>
    </font>
    <font>
      <sz val="10"/>
      <color rgb="FF000000"/>
      <name val="Tahoma"/>
      <family val="2"/>
    </font>
    <font>
      <b/>
      <sz val="24"/>
      <color rgb="FF2F5496"/>
      <name val="Arial"/>
      <family val="2"/>
    </font>
    <font>
      <u/>
      <sz val="9"/>
      <color theme="10"/>
      <name val="Arial"/>
      <family val="2"/>
    </font>
    <font>
      <b/>
      <sz val="10"/>
      <color rgb="FF000000"/>
      <name val="Arial"/>
      <family val="2"/>
    </font>
    <font>
      <sz val="9"/>
      <color indexed="81"/>
      <name val="Arial"/>
      <family val="2"/>
    </font>
    <font>
      <b/>
      <sz val="9"/>
      <color rgb="FFFFFFFF"/>
      <name val="Arial"/>
      <family val="2"/>
    </font>
    <font>
      <u/>
      <sz val="10"/>
      <color rgb="FF0563C1"/>
      <name val="Arial"/>
      <family val="2"/>
    </font>
    <font>
      <b/>
      <sz val="14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2F5496"/>
        <bgColor rgb="FF0066CC"/>
      </patternFill>
    </fill>
    <fill>
      <patternFill patternType="solid">
        <fgColor rgb="FF2F5496"/>
        <bgColor indexed="64"/>
      </patternFill>
    </fill>
    <fill>
      <patternFill patternType="solid">
        <fgColor rgb="FF00F2DA"/>
        <bgColor indexed="64"/>
      </patternFill>
    </fill>
    <fill>
      <patternFill patternType="solid">
        <fgColor rgb="FFD9FFD1"/>
        <bgColor indexed="64"/>
      </patternFill>
    </fill>
    <fill>
      <patternFill patternType="solid">
        <fgColor rgb="FFD7FFD5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DAF4D9"/>
        <bgColor indexed="64"/>
      </patternFill>
    </fill>
    <fill>
      <patternFill patternType="solid">
        <fgColor rgb="FF63CFD8"/>
        <bgColor indexed="64"/>
      </patternFill>
    </fill>
    <fill>
      <patternFill patternType="solid">
        <fgColor rgb="FFFCE4D5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11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/>
      <right/>
      <top style="thick">
        <color rgb="FFC00000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/>
      <diagonal/>
    </border>
    <border>
      <left/>
      <right/>
      <top/>
      <bottom style="thin">
        <color rgb="FFDCDCDC"/>
      </bottom>
      <diagonal/>
    </border>
    <border>
      <left style="thin">
        <color rgb="FFC8C8C8"/>
      </left>
      <right/>
      <top/>
      <bottom/>
      <diagonal/>
    </border>
    <border>
      <left style="thin">
        <color rgb="FFC8C8C8"/>
      </left>
      <right/>
      <top style="thick">
        <color rgb="FFC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/>
    <xf numFmtId="0" fontId="6" fillId="3" borderId="0" xfId="0" applyFont="1" applyFill="1" applyAlignment="1">
      <alignment horizontal="center"/>
    </xf>
    <xf numFmtId="20" fontId="0" fillId="0" borderId="0" xfId="0" applyNumberFormat="1"/>
    <xf numFmtId="46" fontId="0" fillId="0" borderId="0" xfId="0" applyNumberForma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9" fillId="11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5" fillId="0" borderId="0" xfId="0" applyFont="1"/>
    <xf numFmtId="0" fontId="13" fillId="0" borderId="0" xfId="1" applyFont="1" applyFill="1" applyBorder="1" applyAlignment="1">
      <alignment vertical="top" wrapText="1"/>
    </xf>
    <xf numFmtId="0" fontId="16" fillId="0" borderId="0" xfId="0" applyFont="1"/>
    <xf numFmtId="0" fontId="5" fillId="15" borderId="0" xfId="0" applyFont="1" applyFill="1"/>
    <xf numFmtId="0" fontId="17" fillId="15" borderId="0" xfId="0" applyFont="1" applyFill="1" applyAlignment="1">
      <alignment wrapText="1"/>
    </xf>
    <xf numFmtId="0" fontId="16" fillId="15" borderId="0" xfId="0" applyFont="1" applyFill="1"/>
    <xf numFmtId="0" fontId="15" fillId="15" borderId="0" xfId="0" applyFont="1" applyFill="1"/>
    <xf numFmtId="0" fontId="15" fillId="16" borderId="0" xfId="0" applyFont="1" applyFill="1"/>
    <xf numFmtId="0" fontId="15" fillId="17" borderId="0" xfId="0" applyFont="1" applyFill="1"/>
    <xf numFmtId="0" fontId="0" fillId="15" borderId="0" xfId="0" applyFill="1"/>
    <xf numFmtId="0" fontId="0" fillId="17" borderId="0" xfId="0" applyFill="1"/>
    <xf numFmtId="0" fontId="9" fillId="0" borderId="0" xfId="0" applyFont="1" applyAlignment="1">
      <alignment horizontal="right" vertical="center"/>
    </xf>
    <xf numFmtId="0" fontId="20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13" fillId="13" borderId="1" xfId="0" applyFont="1" applyFill="1" applyBorder="1" applyAlignment="1">
      <alignment horizontal="left" vertical="top" wrapText="1"/>
    </xf>
    <xf numFmtId="0" fontId="13" fillId="18" borderId="1" xfId="0" applyFont="1" applyFill="1" applyBorder="1" applyAlignment="1">
      <alignment horizontal="left" vertical="top" wrapText="1"/>
    </xf>
    <xf numFmtId="0" fontId="13" fillId="19" borderId="1" xfId="0" applyFont="1" applyFill="1" applyBorder="1" applyAlignment="1">
      <alignment horizontal="left" vertical="top" wrapText="1"/>
    </xf>
    <xf numFmtId="0" fontId="13" fillId="20" borderId="1" xfId="1" applyFont="1" applyFill="1" applyBorder="1" applyAlignment="1">
      <alignment horizontal="left" vertical="top" wrapText="1"/>
    </xf>
    <xf numFmtId="0" fontId="24" fillId="0" borderId="1" xfId="1" applyFont="1" applyFill="1" applyBorder="1" applyAlignment="1">
      <alignment horizontal="center" vertical="top" wrapText="1"/>
    </xf>
    <xf numFmtId="0" fontId="26" fillId="16" borderId="0" xfId="0" applyFont="1" applyFill="1"/>
    <xf numFmtId="0" fontId="27" fillId="5" borderId="6" xfId="0" applyFont="1" applyFill="1" applyBorder="1" applyAlignment="1">
      <alignment horizontal="center" vertical="center" wrapText="1"/>
    </xf>
    <xf numFmtId="0" fontId="27" fillId="6" borderId="6" xfId="0" applyFont="1" applyFill="1" applyBorder="1" applyAlignment="1">
      <alignment horizontal="center" vertical="center" wrapText="1"/>
    </xf>
    <xf numFmtId="0" fontId="27" fillId="7" borderId="6" xfId="0" applyFont="1" applyFill="1" applyBorder="1" applyAlignment="1">
      <alignment horizontal="center" vertical="center" wrapText="1"/>
    </xf>
    <xf numFmtId="0" fontId="27" fillId="8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22" borderId="6" xfId="0" applyFont="1" applyFill="1" applyBorder="1" applyAlignment="1">
      <alignment horizontal="left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23" fillId="21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14" borderId="0" xfId="0" applyFont="1" applyFill="1" applyAlignment="1" applyProtection="1">
      <alignment horizontal="center"/>
      <protection locked="0"/>
    </xf>
    <xf numFmtId="0" fontId="29" fillId="0" borderId="0" xfId="0" applyFont="1"/>
    <xf numFmtId="0" fontId="12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14" borderId="0" xfId="0" applyFill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 applyProtection="1">
      <alignment horizontal="center" vertical="top"/>
      <protection locked="0"/>
    </xf>
    <xf numFmtId="0" fontId="4" fillId="14" borderId="1" xfId="0" applyFont="1" applyFill="1" applyBorder="1" applyAlignment="1">
      <alignment horizontal="center" vertical="top"/>
    </xf>
    <xf numFmtId="0" fontId="4" fillId="14" borderId="1" xfId="0" applyFont="1" applyFill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165" fontId="4" fillId="14" borderId="1" xfId="0" applyNumberFormat="1" applyFont="1" applyFill="1" applyBorder="1" applyAlignment="1" applyProtection="1">
      <alignment horizontal="center" vertical="top"/>
      <protection locked="0"/>
    </xf>
    <xf numFmtId="166" fontId="3" fillId="14" borderId="0" xfId="0" applyNumberFormat="1" applyFont="1" applyFill="1" applyAlignment="1" applyProtection="1">
      <alignment horizontal="center"/>
      <protection locked="0"/>
    </xf>
    <xf numFmtId="166" fontId="0" fillId="0" borderId="0" xfId="0" applyNumberFormat="1"/>
    <xf numFmtId="0" fontId="3" fillId="0" borderId="0" xfId="0" applyFont="1" applyAlignment="1" applyProtection="1">
      <alignment horizontal="center"/>
      <protection locked="0"/>
    </xf>
    <xf numFmtId="0" fontId="2" fillId="0" borderId="0" xfId="0" applyFont="1"/>
    <xf numFmtId="0" fontId="11" fillId="0" borderId="0" xfId="0" applyFont="1"/>
    <xf numFmtId="0" fontId="3" fillId="14" borderId="0" xfId="0" applyFont="1" applyFill="1"/>
    <xf numFmtId="0" fontId="4" fillId="0" borderId="0" xfId="0" applyFont="1" applyAlignment="1" applyProtection="1">
      <alignment horizontal="center"/>
      <protection locked="0"/>
    </xf>
    <xf numFmtId="14" fontId="4" fillId="14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22" fontId="0" fillId="0" borderId="0" xfId="0" applyNumberFormat="1"/>
    <xf numFmtId="0" fontId="0" fillId="23" borderId="0" xfId="0" applyFill="1"/>
    <xf numFmtId="0" fontId="2" fillId="23" borderId="0" xfId="0" applyFont="1" applyFill="1"/>
    <xf numFmtId="165" fontId="4" fillId="14" borderId="1" xfId="0" applyNumberFormat="1" applyFont="1" applyFill="1" applyBorder="1" applyAlignment="1">
      <alignment horizontal="center" vertical="top"/>
    </xf>
    <xf numFmtId="0" fontId="13" fillId="0" borderId="0" xfId="1" applyFont="1" applyFill="1" applyBorder="1" applyAlignment="1">
      <alignment horizontal="left" vertical="top" wrapText="1"/>
    </xf>
    <xf numFmtId="0" fontId="13" fillId="0" borderId="0" xfId="1" applyFont="1" applyFill="1" applyBorder="1" applyAlignment="1">
      <alignment horizontal="center" vertical="top" wrapText="1"/>
    </xf>
    <xf numFmtId="14" fontId="13" fillId="0" borderId="0" xfId="1" applyNumberFormat="1" applyFont="1" applyFill="1" applyBorder="1" applyAlignment="1">
      <alignment horizontal="center" vertical="top" wrapText="1"/>
    </xf>
    <xf numFmtId="14" fontId="24" fillId="0" borderId="1" xfId="1" applyNumberFormat="1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center"/>
    </xf>
    <xf numFmtId="0" fontId="13" fillId="24" borderId="1" xfId="0" applyFont="1" applyFill="1" applyBorder="1" applyAlignment="1">
      <alignment horizontal="left" vertical="top" wrapText="1"/>
    </xf>
    <xf numFmtId="14" fontId="4" fillId="14" borderId="1" xfId="0" applyNumberFormat="1" applyFont="1" applyFill="1" applyBorder="1" applyAlignment="1" applyProtection="1">
      <alignment horizontal="center" vertical="top"/>
      <protection locked="0"/>
    </xf>
    <xf numFmtId="0" fontId="1" fillId="0" borderId="0" xfId="0" applyFont="1"/>
    <xf numFmtId="0" fontId="0" fillId="0" borderId="0" xfId="0" applyAlignment="1">
      <alignment horizontal="left" vertical="top" wrapText="1"/>
    </xf>
    <xf numFmtId="0" fontId="13" fillId="18" borderId="8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5" fillId="0" borderId="0" xfId="0" applyFont="1"/>
    <xf numFmtId="0" fontId="9" fillId="9" borderId="7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top" wrapText="1"/>
    </xf>
    <xf numFmtId="0" fontId="13" fillId="0" borderId="1" xfId="0" applyFont="1" applyFill="1" applyBorder="1" applyAlignment="1">
      <alignment horizontal="center" vertical="top" wrapText="1"/>
    </xf>
    <xf numFmtId="0" fontId="13" fillId="0" borderId="1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vertical="top" wrapText="1"/>
    </xf>
    <xf numFmtId="0" fontId="14" fillId="0" borderId="0" xfId="0" applyFont="1" applyFill="1" applyBorder="1"/>
    <xf numFmtId="164" fontId="28" fillId="0" borderId="6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12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6E4F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0EBD7"/>
      <rgbColor rgb="FFFFFF99"/>
      <rgbColor rgb="FF99CCFF"/>
      <rgbColor rgb="FFF2DCD2"/>
      <rgbColor rgb="FFFCE4D6"/>
      <rgbColor rgb="FFFFCCCC"/>
      <rgbColor rgb="FF3366FF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5496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3/09/relationships/Python" Target="pytho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104775</xdr:colOff>
          <xdr:row>1</xdr:row>
          <xdr:rowOff>28575</xdr:rowOff>
        </xdr:from>
        <xdr:to>
          <xdr:col>0</xdr:col>
          <xdr:colOff>923925</xdr:colOff>
          <xdr:row>1</xdr:row>
          <xdr:rowOff>581025</xdr:rowOff>
        </xdr:to>
        <xdr:sp macro="" textlink="">
          <xdr:nvSpPr>
            <xdr:cNvPr id="353477" name="Button 4293" hidden="1">
              <a:extLst>
                <a:ext uri="{63B3BB69-23CF-44E3-9099-C40C66FF867C}">
                  <a14:compatExt spid="_x0000_s353477"/>
                </a:ext>
                <a:ext uri="{FF2B5EF4-FFF2-40B4-BE49-F238E27FC236}">
                  <a16:creationId xmlns:a16="http://schemas.microsoft.com/office/drawing/2014/main" id="{00000000-0008-0000-0400-0000C56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AIRCRAFT MANAGER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</xdr:colOff>
          <xdr:row>1</xdr:row>
          <xdr:rowOff>28575</xdr:rowOff>
        </xdr:from>
        <xdr:to>
          <xdr:col>1</xdr:col>
          <xdr:colOff>923925</xdr:colOff>
          <xdr:row>1</xdr:row>
          <xdr:rowOff>581025</xdr:rowOff>
        </xdr:to>
        <xdr:sp macro="" textlink="">
          <xdr:nvSpPr>
            <xdr:cNvPr id="353478" name="Button 4294" hidden="1">
              <a:extLst>
                <a:ext uri="{63B3BB69-23CF-44E3-9099-C40C66FF867C}">
                  <a14:compatExt spid="_x0000_s353478"/>
                </a:ext>
                <a:ext uri="{FF2B5EF4-FFF2-40B4-BE49-F238E27FC236}">
                  <a16:creationId xmlns:a16="http://schemas.microsoft.com/office/drawing/2014/main" id="{00000000-0008-0000-0400-0000C66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PLANNER </a:t>
              </a:r>
            </a:p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SETTINGS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4</xdr:row>
          <xdr:rowOff>57150</xdr:rowOff>
        </xdr:from>
        <xdr:to>
          <xdr:col>10</xdr:col>
          <xdr:colOff>1009650</xdr:colOff>
          <xdr:row>4</xdr:row>
          <xdr:rowOff>790575</xdr:rowOff>
        </xdr:to>
        <xdr:sp macro="" textlink="">
          <xdr:nvSpPr>
            <xdr:cNvPr id="353849" name="ZZ383_dashReimport" hidden="1">
              <a:extLst>
                <a:ext uri="{63B3BB69-23CF-44E3-9099-C40C66FF867C}">
                  <a14:compatExt spid="_x0000_s353849"/>
                </a:ext>
                <a:ext uri="{FF2B5EF4-FFF2-40B4-BE49-F238E27FC236}">
                  <a16:creationId xmlns:a16="http://schemas.microsoft.com/office/drawing/2014/main" id="{00000000-0008-0000-0400-00003966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Reimport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104775</xdr:colOff>
          <xdr:row>1</xdr:row>
          <xdr:rowOff>28575</xdr:rowOff>
        </xdr:from>
        <xdr:to>
          <xdr:col>2</xdr:col>
          <xdr:colOff>923925</xdr:colOff>
          <xdr:row>1</xdr:row>
          <xdr:rowOff>581025</xdr:rowOff>
        </xdr:to>
        <xdr:sp macro="" textlink="">
          <xdr:nvSpPr>
            <xdr:cNvPr id="354144" name="Button 4960" hidden="1">
              <a:extLst>
                <a:ext uri="{63B3BB69-23CF-44E3-9099-C40C66FF867C}">
                  <a14:compatExt spid="_x0000_s354144"/>
                </a:ext>
                <a:ext uri="{FF2B5EF4-FFF2-40B4-BE49-F238E27FC236}">
                  <a16:creationId xmlns:a16="http://schemas.microsoft.com/office/drawing/2014/main" id="{00000000-0008-0000-0400-00006067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TASK SETTINGS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104775</xdr:colOff>
          <xdr:row>1</xdr:row>
          <xdr:rowOff>28575</xdr:rowOff>
        </xdr:from>
        <xdr:to>
          <xdr:col>3</xdr:col>
          <xdr:colOff>923925</xdr:colOff>
          <xdr:row>1</xdr:row>
          <xdr:rowOff>581025</xdr:rowOff>
        </xdr:to>
        <xdr:sp macro="" textlink="">
          <xdr:nvSpPr>
            <xdr:cNvPr id="354145" name="Button 4961" hidden="1">
              <a:extLst>
                <a:ext uri="{63B3BB69-23CF-44E3-9099-C40C66FF867C}">
                  <a14:compatExt spid="_x0000_s354145"/>
                </a:ext>
                <a:ext uri="{FF2B5EF4-FFF2-40B4-BE49-F238E27FC236}">
                  <a16:creationId xmlns:a16="http://schemas.microsoft.com/office/drawing/2014/main" id="{00000000-0008-0000-0400-00006167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REFRESH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19050</xdr:colOff>
          <xdr:row>4</xdr:row>
          <xdr:rowOff>47625</xdr:rowOff>
        </xdr:from>
        <xdr:to>
          <xdr:col>10</xdr:col>
          <xdr:colOff>952500</xdr:colOff>
          <xdr:row>4</xdr:row>
          <xdr:rowOff>781050</xdr:rowOff>
        </xdr:to>
        <xdr:sp macro="" textlink="">
          <xdr:nvSpPr>
            <xdr:cNvPr id="448849" name="dashReimport_5" hidden="1">
              <a:extLst>
                <a:ext uri="{63B3BB69-23CF-44E3-9099-C40C66FF867C}">
                  <a14:compatExt spid="_x0000_s448849"/>
                </a:ext>
                <a:ext uri="{FF2B5EF4-FFF2-40B4-BE49-F238E27FC236}">
                  <a16:creationId xmlns:a16="http://schemas.microsoft.com/office/drawing/2014/main" id="{36295515-A8D0-C7AC-3918-A7BCD9A34B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Reimport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19050</xdr:colOff>
          <xdr:row>5</xdr:row>
          <xdr:rowOff>47625</xdr:rowOff>
        </xdr:from>
        <xdr:to>
          <xdr:col>10</xdr:col>
          <xdr:colOff>952500</xdr:colOff>
          <xdr:row>5</xdr:row>
          <xdr:rowOff>781050</xdr:rowOff>
        </xdr:to>
        <xdr:sp macro="" textlink="">
          <xdr:nvSpPr>
            <xdr:cNvPr id="448850" name="dashReimport_6" hidden="1">
              <a:extLst>
                <a:ext uri="{63B3BB69-23CF-44E3-9099-C40C66FF867C}">
                  <a14:compatExt spid="_x0000_s448850"/>
                </a:ext>
                <a:ext uri="{FF2B5EF4-FFF2-40B4-BE49-F238E27FC236}">
                  <a16:creationId xmlns:a16="http://schemas.microsoft.com/office/drawing/2014/main" id="{AD633579-4F27-3CC9-4956-2677D46AEF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Reimport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</xdr:row>
          <xdr:rowOff>28575</xdr:rowOff>
        </xdr:from>
        <xdr:to>
          <xdr:col>0</xdr:col>
          <xdr:colOff>895350</xdr:colOff>
          <xdr:row>1</xdr:row>
          <xdr:rowOff>590550</xdr:rowOff>
        </xdr:to>
        <xdr:sp macro="" textlink="">
          <xdr:nvSpPr>
            <xdr:cNvPr id="416769" name="ZZ382_btnReturn" hidden="1">
              <a:extLst>
                <a:ext uri="{63B3BB69-23CF-44E3-9099-C40C66FF867C}">
                  <a14:compatExt spid="_x0000_s416769"/>
                </a:ext>
                <a:ext uri="{FF2B5EF4-FFF2-40B4-BE49-F238E27FC236}">
                  <a16:creationId xmlns:a16="http://schemas.microsoft.com/office/drawing/2014/main" id="{00000000-0008-0000-0600-0000015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Return to Dashboard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1</xdr:row>
          <xdr:rowOff>28575</xdr:rowOff>
        </xdr:from>
        <xdr:to>
          <xdr:col>1</xdr:col>
          <xdr:colOff>895350</xdr:colOff>
          <xdr:row>1</xdr:row>
          <xdr:rowOff>590550</xdr:rowOff>
        </xdr:to>
        <xdr:sp macro="" textlink="">
          <xdr:nvSpPr>
            <xdr:cNvPr id="416770" name="ZZ382_btnWorkPack" hidden="1">
              <a:extLst>
                <a:ext uri="{63B3BB69-23CF-44E3-9099-C40C66FF867C}">
                  <a14:compatExt spid="_x0000_s416770"/>
                </a:ext>
                <a:ext uri="{FF2B5EF4-FFF2-40B4-BE49-F238E27FC236}">
                  <a16:creationId xmlns:a16="http://schemas.microsoft.com/office/drawing/2014/main" id="{00000000-0008-0000-0600-0000025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Generate Work Pack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66675</xdr:colOff>
          <xdr:row>1</xdr:row>
          <xdr:rowOff>28575</xdr:rowOff>
        </xdr:from>
        <xdr:to>
          <xdr:col>2</xdr:col>
          <xdr:colOff>885825</xdr:colOff>
          <xdr:row>1</xdr:row>
          <xdr:rowOff>590550</xdr:rowOff>
        </xdr:to>
        <xdr:sp macro="" textlink="">
          <xdr:nvSpPr>
            <xdr:cNvPr id="416771" name="ZZ382_btnReimport" hidden="1">
              <a:extLst>
                <a:ext uri="{63B3BB69-23CF-44E3-9099-C40C66FF867C}">
                  <a14:compatExt spid="_x0000_s416771"/>
                </a:ext>
                <a:ext uri="{FF2B5EF4-FFF2-40B4-BE49-F238E27FC236}">
                  <a16:creationId xmlns:a16="http://schemas.microsoft.com/office/drawing/2014/main" id="{00000000-0008-0000-0600-0000035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Reimport SITS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</xdr:row>
          <xdr:rowOff>28575</xdr:rowOff>
        </xdr:from>
        <xdr:to>
          <xdr:col>0</xdr:col>
          <xdr:colOff>895350</xdr:colOff>
          <xdr:row>1</xdr:row>
          <xdr:rowOff>590550</xdr:rowOff>
        </xdr:to>
        <xdr:sp macro="" textlink="">
          <xdr:nvSpPr>
            <xdr:cNvPr id="421889" name="ZZ388_btnReturn" hidden="1">
              <a:extLst>
                <a:ext uri="{63B3BB69-23CF-44E3-9099-C40C66FF867C}">
                  <a14:compatExt spid="_x0000_s421889"/>
                </a:ext>
                <a:ext uri="{FF2B5EF4-FFF2-40B4-BE49-F238E27FC236}">
                  <a16:creationId xmlns:a16="http://schemas.microsoft.com/office/drawing/2014/main" id="{00000000-0008-0000-0800-0000017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Return to Dashboard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1</xdr:row>
          <xdr:rowOff>28575</xdr:rowOff>
        </xdr:from>
        <xdr:to>
          <xdr:col>1</xdr:col>
          <xdr:colOff>895350</xdr:colOff>
          <xdr:row>1</xdr:row>
          <xdr:rowOff>590550</xdr:rowOff>
        </xdr:to>
        <xdr:sp macro="" textlink="">
          <xdr:nvSpPr>
            <xdr:cNvPr id="421890" name="ZZ388_btnWorkPack" hidden="1">
              <a:extLst>
                <a:ext uri="{63B3BB69-23CF-44E3-9099-C40C66FF867C}">
                  <a14:compatExt spid="_x0000_s421890"/>
                </a:ext>
                <a:ext uri="{FF2B5EF4-FFF2-40B4-BE49-F238E27FC236}">
                  <a16:creationId xmlns:a16="http://schemas.microsoft.com/office/drawing/2014/main" id="{00000000-0008-0000-0800-0000027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Generate Work Pack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66675</xdr:colOff>
          <xdr:row>1</xdr:row>
          <xdr:rowOff>28575</xdr:rowOff>
        </xdr:from>
        <xdr:to>
          <xdr:col>2</xdr:col>
          <xdr:colOff>885825</xdr:colOff>
          <xdr:row>1</xdr:row>
          <xdr:rowOff>590550</xdr:rowOff>
        </xdr:to>
        <xdr:sp macro="" textlink="">
          <xdr:nvSpPr>
            <xdr:cNvPr id="421891" name="ZZ388_btnReimport" hidden="1">
              <a:extLst>
                <a:ext uri="{63B3BB69-23CF-44E3-9099-C40C66FF867C}">
                  <a14:compatExt spid="_x0000_s421891"/>
                </a:ext>
                <a:ext uri="{FF2B5EF4-FFF2-40B4-BE49-F238E27FC236}">
                  <a16:creationId xmlns:a16="http://schemas.microsoft.com/office/drawing/2014/main" id="{00000000-0008-0000-0800-0000037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Reimport SITS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mments" Target="../comments2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omments" Target="../comments3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69D3-8EDC-4118-9158-F428EB955740}">
  <sheetPr codeName="Sheet3"/>
  <dimension ref="A1:D11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8.7109375" style="48"/>
    <col min="2" max="2" width="110.140625" style="50" customWidth="1"/>
    <col min="3" max="4" width="45.7109375" style="50" customWidth="1"/>
  </cols>
  <sheetData>
    <row r="1" spans="1:4" ht="26.1" customHeight="1" x14ac:dyDescent="0.25">
      <c r="A1" s="13" t="s">
        <v>1544</v>
      </c>
      <c r="B1" t="s">
        <v>1545</v>
      </c>
      <c r="C1" t="s">
        <v>1546</v>
      </c>
      <c r="D1" t="s">
        <v>1526</v>
      </c>
    </row>
    <row r="2" spans="1:4" ht="30" x14ac:dyDescent="0.25">
      <c r="A2" s="48" t="s">
        <v>1547</v>
      </c>
      <c r="B2" s="50" t="s">
        <v>1468</v>
      </c>
      <c r="C2" s="50" t="s">
        <v>1548</v>
      </c>
    </row>
    <row r="3" spans="1:4" ht="30" x14ac:dyDescent="0.25">
      <c r="A3" s="48" t="s">
        <v>1467</v>
      </c>
      <c r="B3" s="49" t="s">
        <v>1532</v>
      </c>
      <c r="C3" s="50" t="s">
        <v>1549</v>
      </c>
    </row>
    <row r="4" spans="1:4" x14ac:dyDescent="0.25">
      <c r="A4" s="48" t="s">
        <v>1469</v>
      </c>
      <c r="B4" s="49" t="s">
        <v>1517</v>
      </c>
      <c r="C4" s="50" t="s">
        <v>1549</v>
      </c>
    </row>
    <row r="5" spans="1:4" ht="15" customHeight="1" x14ac:dyDescent="0.25">
      <c r="A5" s="48" t="s">
        <v>1467</v>
      </c>
      <c r="B5" s="49" t="s">
        <v>2245</v>
      </c>
      <c r="C5" s="50" t="s">
        <v>1549</v>
      </c>
    </row>
    <row r="6" spans="1:4" x14ac:dyDescent="0.25">
      <c r="A6" s="48" t="s">
        <v>1467</v>
      </c>
      <c r="B6" s="49" t="s">
        <v>1535</v>
      </c>
      <c r="C6" s="50" t="s">
        <v>1549</v>
      </c>
    </row>
    <row r="7" spans="1:4" x14ac:dyDescent="0.25">
      <c r="A7" s="48" t="s">
        <v>1469</v>
      </c>
      <c r="B7" s="49" t="s">
        <v>1511</v>
      </c>
      <c r="C7" s="50" t="s">
        <v>1549</v>
      </c>
    </row>
    <row r="8" spans="1:4" x14ac:dyDescent="0.25">
      <c r="A8" s="48" t="s">
        <v>1469</v>
      </c>
      <c r="B8" s="50" t="s">
        <v>1814</v>
      </c>
      <c r="C8" s="50" t="s">
        <v>1549</v>
      </c>
    </row>
    <row r="9" spans="1:4" x14ac:dyDescent="0.25">
      <c r="A9" s="48" t="s">
        <v>1467</v>
      </c>
      <c r="B9" s="50" t="s">
        <v>1551</v>
      </c>
      <c r="C9" s="50" t="s">
        <v>1549</v>
      </c>
    </row>
    <row r="10" spans="1:4" x14ac:dyDescent="0.25">
      <c r="A10" s="48" t="s">
        <v>1469</v>
      </c>
      <c r="B10" s="50" t="s">
        <v>1559</v>
      </c>
      <c r="C10" s="50" t="s">
        <v>1549</v>
      </c>
    </row>
    <row r="11" spans="1:4" ht="30" x14ac:dyDescent="0.25">
      <c r="A11" s="48" t="s">
        <v>1467</v>
      </c>
      <c r="B11" s="50" t="s">
        <v>2244</v>
      </c>
      <c r="C11" s="50" t="s">
        <v>1549</v>
      </c>
    </row>
  </sheetData>
  <conditionalFormatting sqref="A1:A1048576">
    <cfRule type="cellIs" dxfId="2" priority="1" operator="equal">
      <formula>"NOW"</formula>
    </cfRule>
    <cfRule type="cellIs" dxfId="1" priority="2" operator="equal">
      <formula>"SOON"</formula>
    </cfRule>
    <cfRule type="cellIs" dxfId="0" priority="3" operator="equal">
      <formula>"LATER"</formula>
    </cfRule>
  </conditionalFormatting>
  <dataValidations count="1">
    <dataValidation type="list" allowBlank="1" showInputMessage="1" showErrorMessage="1" sqref="A2:A1048576" xr:uid="{557386E5-1ADD-4D87-882F-327B8942E7EA}">
      <formula1>"NOW,SOON,LATER"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837C-4B25-4999-A8F5-3BAA474B85C6}">
  <sheetPr codeName="Sheet33">
    <tabColor rgb="FFC00000"/>
  </sheetPr>
  <dimension ref="A1:F8"/>
  <sheetViews>
    <sheetView workbookViewId="0">
      <selection activeCell="E8" sqref="E8"/>
    </sheetView>
  </sheetViews>
  <sheetFormatPr defaultRowHeight="15" x14ac:dyDescent="0.25"/>
  <cols>
    <col min="1" max="1" width="28.5703125" customWidth="1"/>
    <col min="2" max="2" width="5.5703125" customWidth="1"/>
    <col min="3" max="3" width="28.5703125" customWidth="1"/>
    <col min="4" max="4" width="5.5703125" customWidth="1"/>
    <col min="5" max="5" width="28.5703125" customWidth="1"/>
    <col min="6" max="6" width="27" customWidth="1"/>
  </cols>
  <sheetData>
    <row r="1" spans="1:6" x14ac:dyDescent="0.25">
      <c r="A1" s="19" t="s">
        <v>1525</v>
      </c>
      <c r="B1" s="18"/>
      <c r="C1" s="20" t="s">
        <v>1527</v>
      </c>
      <c r="D1" s="18" t="s">
        <v>1526</v>
      </c>
      <c r="E1" s="21" t="s">
        <v>1528</v>
      </c>
      <c r="F1" s="18" t="s">
        <v>1526</v>
      </c>
    </row>
    <row r="2" spans="1:6" x14ac:dyDescent="0.25">
      <c r="A2" t="s">
        <v>1471</v>
      </c>
      <c r="C2" t="s">
        <v>1471</v>
      </c>
      <c r="E2" t="s">
        <v>1471</v>
      </c>
    </row>
    <row r="3" spans="1:6" x14ac:dyDescent="0.25">
      <c r="A3" t="s">
        <v>1472</v>
      </c>
      <c r="C3" t="s">
        <v>1472</v>
      </c>
      <c r="E3" t="s">
        <v>1472</v>
      </c>
    </row>
    <row r="4" spans="1:6" x14ac:dyDescent="0.25">
      <c r="A4" t="s">
        <v>1473</v>
      </c>
      <c r="C4" t="s">
        <v>1473</v>
      </c>
      <c r="E4" t="s">
        <v>1473</v>
      </c>
    </row>
    <row r="5" spans="1:6" x14ac:dyDescent="0.25">
      <c r="A5" t="s">
        <v>1474</v>
      </c>
      <c r="C5" t="s">
        <v>1474</v>
      </c>
      <c r="E5" t="s">
        <v>1474</v>
      </c>
    </row>
    <row r="6" spans="1:6" x14ac:dyDescent="0.25">
      <c r="A6" t="s">
        <v>1238</v>
      </c>
      <c r="C6" t="s">
        <v>1238</v>
      </c>
      <c r="E6" t="s">
        <v>1238</v>
      </c>
    </row>
    <row r="7" spans="1:6" x14ac:dyDescent="0.25">
      <c r="A7" t="s">
        <v>1475</v>
      </c>
      <c r="C7" t="s">
        <v>1475</v>
      </c>
      <c r="E7" t="s">
        <v>1475</v>
      </c>
    </row>
    <row r="8" spans="1:6" x14ac:dyDescent="0.25">
      <c r="C8" t="s">
        <v>1530</v>
      </c>
      <c r="E8" t="s">
        <v>1530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F5496"/>
  </sheetPr>
  <dimension ref="A1:J32"/>
  <sheetViews>
    <sheetView topLeftCell="A18" zoomScale="85" zoomScaleNormal="85" workbookViewId="0">
      <selection activeCell="A32" sqref="A32"/>
    </sheetView>
  </sheetViews>
  <sheetFormatPr defaultColWidth="8.5703125" defaultRowHeight="15" x14ac:dyDescent="0.25"/>
  <cols>
    <col min="1" max="1" width="24.85546875" customWidth="1"/>
    <col min="2" max="2" width="16" customWidth="1"/>
    <col min="3" max="4" width="12" customWidth="1"/>
  </cols>
  <sheetData>
    <row r="1" spans="1:10" ht="17.25" customHeight="1" x14ac:dyDescent="0.25">
      <c r="A1" s="81" t="s">
        <v>0</v>
      </c>
      <c r="B1" s="81"/>
      <c r="C1" s="81"/>
      <c r="D1" s="81"/>
      <c r="E1" s="81"/>
    </row>
    <row r="3" spans="1:10" ht="15" customHeight="1" x14ac:dyDescent="0.25">
      <c r="A3" s="1" t="s">
        <v>0</v>
      </c>
      <c r="B3" s="2"/>
      <c r="C3" s="2"/>
      <c r="D3" s="2"/>
      <c r="E3" s="2"/>
    </row>
    <row r="4" spans="1:10" ht="15" customHeight="1" x14ac:dyDescent="0.25">
      <c r="A4" s="3" t="s">
        <v>1552</v>
      </c>
      <c r="B4" s="53" t="s">
        <v>1560</v>
      </c>
    </row>
    <row r="5" spans="1:10" ht="15" customHeight="1" x14ac:dyDescent="0.25">
      <c r="A5" s="3" t="s">
        <v>1568</v>
      </c>
      <c r="B5" s="29">
        <v>46209</v>
      </c>
    </row>
    <row r="6" spans="1:10" ht="15" customHeight="1" x14ac:dyDescent="0.25">
      <c r="A6" s="3" t="s">
        <v>1564</v>
      </c>
      <c r="B6" s="46">
        <v>15</v>
      </c>
    </row>
    <row r="7" spans="1:10" ht="15" customHeight="1" x14ac:dyDescent="0.25">
      <c r="A7" s="3" t="s">
        <v>1</v>
      </c>
      <c r="B7" s="29">
        <f>B5+7*(B6-1)+6</f>
        <v>46313</v>
      </c>
    </row>
    <row r="8" spans="1:10" ht="15" customHeight="1" x14ac:dyDescent="0.25">
      <c r="A8" s="3" t="s">
        <v>1470</v>
      </c>
      <c r="B8" s="52">
        <v>0</v>
      </c>
    </row>
    <row r="9" spans="1:10" ht="15" customHeight="1" x14ac:dyDescent="0.25">
      <c r="A9" s="3" t="s">
        <v>2</v>
      </c>
      <c r="B9" s="67">
        <v>7</v>
      </c>
      <c r="C9" s="47" t="s">
        <v>1566</v>
      </c>
    </row>
    <row r="10" spans="1:10" ht="15" customHeight="1" x14ac:dyDescent="0.25">
      <c r="A10" s="3"/>
      <c r="B10" s="67"/>
      <c r="C10" s="47"/>
    </row>
    <row r="11" spans="1:10" x14ac:dyDescent="0.25">
      <c r="A11" s="1" t="s">
        <v>1567</v>
      </c>
      <c r="B11" s="6"/>
      <c r="C11" s="6"/>
      <c r="D11" s="6"/>
      <c r="E11" s="6"/>
    </row>
    <row r="12" spans="1:10" ht="15" customHeight="1" x14ac:dyDescent="0.25">
      <c r="A12" s="3" t="s">
        <v>1565</v>
      </c>
      <c r="B12" s="66" t="b">
        <v>1</v>
      </c>
      <c r="C12" s="3"/>
      <c r="D12" s="3"/>
    </row>
    <row r="13" spans="1:10" ht="15" customHeight="1" x14ac:dyDescent="0.25">
      <c r="A13" s="3" t="s">
        <v>1563</v>
      </c>
      <c r="B13" s="46">
        <v>10</v>
      </c>
      <c r="C13" s="3" t="s">
        <v>16</v>
      </c>
      <c r="D13" s="3"/>
    </row>
    <row r="14" spans="1:10" ht="15" customHeight="1" x14ac:dyDescent="0.25">
      <c r="A14" s="3" t="s">
        <v>17</v>
      </c>
      <c r="B14" s="46">
        <v>10</v>
      </c>
      <c r="C14" s="3" t="s">
        <v>18</v>
      </c>
      <c r="D14" s="3"/>
      <c r="H14" s="63"/>
      <c r="I14" s="63"/>
      <c r="J14" s="63"/>
    </row>
    <row r="15" spans="1:10" ht="15" customHeight="1" x14ac:dyDescent="0.25">
      <c r="A15" s="3" t="s">
        <v>1562</v>
      </c>
      <c r="B15" s="46">
        <v>20</v>
      </c>
      <c r="C15" s="3" t="s">
        <v>16</v>
      </c>
      <c r="D15" s="3"/>
      <c r="H15" s="63"/>
      <c r="I15" s="63"/>
      <c r="J15" s="63"/>
    </row>
    <row r="16" spans="1:10" x14ac:dyDescent="0.25">
      <c r="A16" s="3"/>
      <c r="B16" s="52"/>
    </row>
    <row r="17" spans="1:5" x14ac:dyDescent="0.25">
      <c r="A17" s="1" t="s">
        <v>3</v>
      </c>
      <c r="B17" s="2"/>
      <c r="C17" s="2"/>
      <c r="D17" s="2"/>
      <c r="E17" s="2"/>
    </row>
    <row r="18" spans="1:5" ht="15" customHeight="1" x14ac:dyDescent="0.25">
      <c r="A18" s="4"/>
      <c r="B18" s="4" t="s">
        <v>4</v>
      </c>
      <c r="C18" s="4" t="s">
        <v>5</v>
      </c>
      <c r="D18" s="4" t="s">
        <v>6</v>
      </c>
      <c r="E18" s="7" t="s">
        <v>34</v>
      </c>
    </row>
    <row r="19" spans="1:5" ht="15" customHeight="1" x14ac:dyDescent="0.25">
      <c r="A19" s="3" t="s">
        <v>7</v>
      </c>
      <c r="B19" s="61">
        <v>0.625</v>
      </c>
      <c r="C19" s="61">
        <v>0.33333333333333331</v>
      </c>
      <c r="D19" s="61">
        <v>0.20833333333333334</v>
      </c>
      <c r="E19" s="62">
        <f>SUM(B19:D19)</f>
        <v>1.1666666666666665</v>
      </c>
    </row>
    <row r="20" spans="1:5" ht="15" customHeight="1" x14ac:dyDescent="0.25">
      <c r="A20" s="3" t="s">
        <v>8</v>
      </c>
      <c r="B20" s="61">
        <v>0.625</v>
      </c>
      <c r="C20" s="61">
        <v>0.5</v>
      </c>
      <c r="D20" s="61">
        <v>0.33333333333333331</v>
      </c>
      <c r="E20" s="62">
        <f>SUM(B20:D20)</f>
        <v>1.4583333333333333</v>
      </c>
    </row>
    <row r="21" spans="1:5" ht="15" customHeight="1" x14ac:dyDescent="0.25">
      <c r="A21" s="3" t="s">
        <v>9</v>
      </c>
      <c r="B21" s="61">
        <v>0.5</v>
      </c>
      <c r="C21" s="61">
        <v>0.41666666666666669</v>
      </c>
      <c r="D21" s="61">
        <v>0.25</v>
      </c>
      <c r="E21" s="62">
        <f>SUM(B21:D21)</f>
        <v>1.1666666666666667</v>
      </c>
    </row>
    <row r="22" spans="1:5" ht="15" customHeight="1" x14ac:dyDescent="0.25"/>
    <row r="23" spans="1:5" x14ac:dyDescent="0.25">
      <c r="A23" s="1" t="s">
        <v>10</v>
      </c>
      <c r="B23" s="2"/>
      <c r="C23" s="2"/>
      <c r="D23" s="2"/>
      <c r="E23" s="2"/>
    </row>
    <row r="24" spans="1:5" ht="15" customHeight="1" x14ac:dyDescent="0.25">
      <c r="A24" s="3" t="s">
        <v>11</v>
      </c>
      <c r="B24" s="45">
        <v>3</v>
      </c>
      <c r="C24" s="47" t="s">
        <v>1543</v>
      </c>
    </row>
    <row r="25" spans="1:5" ht="15" customHeight="1" x14ac:dyDescent="0.25">
      <c r="A25" s="3" t="s">
        <v>1536</v>
      </c>
      <c r="B25" s="45">
        <v>2</v>
      </c>
    </row>
    <row r="26" spans="1:5" ht="15" customHeight="1" x14ac:dyDescent="0.25">
      <c r="A26" s="3" t="s">
        <v>12</v>
      </c>
      <c r="B26" s="45">
        <f>B24+B25</f>
        <v>5</v>
      </c>
    </row>
    <row r="27" spans="1:5" ht="15" customHeight="1" x14ac:dyDescent="0.25"/>
    <row r="28" spans="1:5" ht="15" customHeight="1" x14ac:dyDescent="0.25">
      <c r="A28" s="1" t="s">
        <v>13</v>
      </c>
      <c r="B28" s="2"/>
      <c r="C28" s="2"/>
      <c r="D28" s="2"/>
      <c r="E28" s="2"/>
    </row>
    <row r="29" spans="1:5" ht="15" customHeight="1" x14ac:dyDescent="0.25">
      <c r="A29" s="3" t="s">
        <v>14</v>
      </c>
      <c r="B29" s="67">
        <v>5000</v>
      </c>
      <c r="C29" s="3" t="s">
        <v>15</v>
      </c>
    </row>
    <row r="30" spans="1:5" ht="15" customHeight="1" x14ac:dyDescent="0.25">
      <c r="A30" s="3"/>
    </row>
    <row r="31" spans="1:5" ht="15" customHeight="1" x14ac:dyDescent="0.25">
      <c r="A31" s="72" t="s">
        <v>1624</v>
      </c>
      <c r="B31" s="71"/>
      <c r="C31" s="71"/>
      <c r="D31" s="71"/>
      <c r="E31" s="71"/>
    </row>
    <row r="32" spans="1:5" x14ac:dyDescent="0.25">
      <c r="A32" s="3" t="s">
        <v>1625</v>
      </c>
      <c r="B32" s="53" t="s">
        <v>1813</v>
      </c>
    </row>
  </sheetData>
  <sheetProtection selectLockedCells="1"/>
  <mergeCells count="1">
    <mergeCell ref="A1:E1"/>
  </mergeCells>
  <dataValidations count="5">
    <dataValidation type="list" error="Enter 10 or 20" sqref="B14" xr:uid="{00000000-0002-0000-0000-000000000000}">
      <formula1>"10,20"</formula1>
      <formula2>0</formula2>
    </dataValidation>
    <dataValidation type="custom" allowBlank="1" showInputMessage="1" showErrorMessage="1" errorTitle="Date error" error="Forecast date must be a Monday." sqref="B5" xr:uid="{C1BC2AC1-E477-439E-867C-724C57B0E034}">
      <formula1>WEEKDAY(B5, 2) = 1</formula1>
    </dataValidation>
    <dataValidation type="list" allowBlank="1" showInputMessage="1" showErrorMessage="1" sqref="B4" xr:uid="{70626994-0A84-48E0-9472-481C093DDAE1}">
      <formula1>"Current Week,Manual Date"</formula1>
    </dataValidation>
    <dataValidation type="list" allowBlank="1" showInputMessage="1" showErrorMessage="1" sqref="B12" xr:uid="{1D03494D-A8A1-4F55-AED4-B0A734DCD5BB}">
      <formula1>"TRUE,FALSE"</formula1>
    </dataValidation>
    <dataValidation type="list" allowBlank="1" showInputMessage="1" showErrorMessage="1" sqref="B32" xr:uid="{15FCCB94-8FFF-4B4F-A2FF-082ED5536E38}">
      <formula1>"Tail Number, Cycle Week"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2F5496"/>
  </sheetPr>
  <dimension ref="A1:R19"/>
  <sheetViews>
    <sheetView zoomScaleNormal="100" workbookViewId="0">
      <selection activeCell="A32" sqref="A32"/>
    </sheetView>
  </sheetViews>
  <sheetFormatPr defaultColWidth="8.5703125" defaultRowHeight="15" x14ac:dyDescent="0.25"/>
  <cols>
    <col min="2" max="2" width="14.5703125" customWidth="1"/>
    <col min="3" max="3" width="20.5703125" customWidth="1"/>
    <col min="4" max="10" width="12.5703125" customWidth="1"/>
  </cols>
  <sheetData>
    <row r="1" spans="1:18" ht="17.25" customHeight="1" x14ac:dyDescent="0.25">
      <c r="A1" s="51" t="s">
        <v>19</v>
      </c>
      <c r="C1" s="51"/>
      <c r="F1" s="51"/>
      <c r="G1" s="51"/>
      <c r="I1" s="51"/>
      <c r="J1" s="51"/>
      <c r="K1" s="51"/>
      <c r="L1" s="51"/>
      <c r="M1" s="51"/>
    </row>
    <row r="3" spans="1:18" ht="15" customHeight="1" x14ac:dyDescent="0.25">
      <c r="A3" s="1" t="s">
        <v>20</v>
      </c>
      <c r="B3" s="1"/>
      <c r="C3" s="2"/>
      <c r="L3" s="47"/>
    </row>
    <row r="4" spans="1:18" ht="47.45" customHeight="1" x14ac:dyDescent="0.25">
      <c r="A4" s="54" t="s">
        <v>1623</v>
      </c>
      <c r="B4" s="54" t="s">
        <v>21</v>
      </c>
      <c r="C4" s="54" t="s">
        <v>1518</v>
      </c>
      <c r="D4" s="54" t="s">
        <v>1554</v>
      </c>
      <c r="E4" s="54" t="s">
        <v>1555</v>
      </c>
      <c r="F4" s="54" t="s">
        <v>1553</v>
      </c>
      <c r="G4" s="55" t="s">
        <v>1519</v>
      </c>
      <c r="H4" s="55" t="s">
        <v>1523</v>
      </c>
      <c r="I4" s="55" t="s">
        <v>1558</v>
      </c>
      <c r="J4" s="54" t="s">
        <v>1556</v>
      </c>
      <c r="L4" s="82"/>
      <c r="M4" s="82"/>
      <c r="N4" s="82"/>
      <c r="O4" s="82"/>
      <c r="P4" s="82"/>
      <c r="Q4" s="82"/>
      <c r="R4" s="82"/>
    </row>
    <row r="5" spans="1:18" ht="15" customHeight="1" x14ac:dyDescent="0.25">
      <c r="A5" s="52">
        <v>1</v>
      </c>
      <c r="B5" s="56" t="s">
        <v>1571</v>
      </c>
      <c r="C5" s="56" t="s">
        <v>1520</v>
      </c>
      <c r="D5" s="60">
        <v>46174</v>
      </c>
      <c r="E5" s="56">
        <v>1</v>
      </c>
      <c r="F5" s="59">
        <f t="shared" ref="F5:F11" si="0">IF(OR($D5 = "", $E5 = ""), "", MOD($E5 - 1 + INT((ForecastStart - $D5) / 7), CycleLength) + 1)</f>
        <v>1</v>
      </c>
      <c r="G5" s="60"/>
      <c r="H5" s="60"/>
      <c r="I5" s="56"/>
      <c r="J5" s="56"/>
      <c r="L5" s="64"/>
    </row>
    <row r="6" spans="1:18" ht="15" customHeight="1" x14ac:dyDescent="0.25">
      <c r="A6" s="52">
        <v>2</v>
      </c>
      <c r="B6" s="56" t="s">
        <v>1626</v>
      </c>
      <c r="C6" s="56" t="s">
        <v>1926</v>
      </c>
      <c r="D6" s="60">
        <v>46174</v>
      </c>
      <c r="E6" s="56">
        <v>2</v>
      </c>
      <c r="F6" s="59">
        <f t="shared" si="0"/>
        <v>2</v>
      </c>
      <c r="G6" s="80">
        <v>46209</v>
      </c>
      <c r="H6" s="80">
        <v>46224</v>
      </c>
      <c r="I6" s="56" t="s">
        <v>1927</v>
      </c>
      <c r="J6" s="56">
        <v>1</v>
      </c>
      <c r="L6" s="45"/>
      <c r="M6" s="65"/>
    </row>
    <row r="7" spans="1:18" ht="15" customHeight="1" x14ac:dyDescent="0.25">
      <c r="A7" s="52">
        <v>3</v>
      </c>
      <c r="B7" s="56"/>
      <c r="C7" s="56"/>
      <c r="D7" s="60"/>
      <c r="E7" s="56"/>
      <c r="F7" s="59" t="str">
        <f t="shared" si="0"/>
        <v/>
      </c>
      <c r="G7" s="80"/>
      <c r="H7" s="80"/>
      <c r="I7" s="56"/>
      <c r="J7" s="56"/>
      <c r="L7" s="45"/>
      <c r="M7" s="65"/>
    </row>
    <row r="8" spans="1:18" ht="15" customHeight="1" x14ac:dyDescent="0.25">
      <c r="A8" s="52">
        <v>4</v>
      </c>
      <c r="B8" s="56"/>
      <c r="C8" s="56"/>
      <c r="D8" s="60"/>
      <c r="E8" s="56"/>
      <c r="F8" s="59" t="str">
        <f t="shared" si="0"/>
        <v/>
      </c>
      <c r="G8" s="60"/>
      <c r="H8" s="60"/>
      <c r="I8" s="56"/>
      <c r="J8" s="56"/>
      <c r="L8" s="45"/>
      <c r="M8" s="65"/>
    </row>
    <row r="9" spans="1:18" ht="15" customHeight="1" x14ac:dyDescent="0.25">
      <c r="A9" s="52">
        <v>5</v>
      </c>
      <c r="B9" s="57"/>
      <c r="C9" s="57"/>
      <c r="D9" s="73"/>
      <c r="E9" s="57"/>
      <c r="F9" s="59" t="str">
        <f t="shared" si="0"/>
        <v/>
      </c>
      <c r="G9" s="56"/>
      <c r="H9" s="56"/>
      <c r="I9" s="56"/>
      <c r="J9" s="57"/>
      <c r="L9" s="45"/>
      <c r="M9" s="65"/>
    </row>
    <row r="10" spans="1:18" ht="15" customHeight="1" x14ac:dyDescent="0.25">
      <c r="A10" s="52">
        <v>6</v>
      </c>
      <c r="B10" s="58"/>
      <c r="C10" s="57"/>
      <c r="D10" s="68"/>
      <c r="E10" s="57"/>
      <c r="F10" s="59" t="str">
        <f t="shared" si="0"/>
        <v/>
      </c>
      <c r="G10" s="56"/>
      <c r="H10" s="56"/>
      <c r="I10" s="56"/>
      <c r="J10" s="57"/>
      <c r="L10" s="45"/>
      <c r="M10" s="65"/>
    </row>
    <row r="11" spans="1:18" ht="15" customHeight="1" x14ac:dyDescent="0.25">
      <c r="A11" s="52">
        <v>7</v>
      </c>
      <c r="B11" s="58"/>
      <c r="C11" s="57"/>
      <c r="D11" s="68"/>
      <c r="E11" s="57"/>
      <c r="F11" s="59" t="str">
        <f t="shared" si="0"/>
        <v/>
      </c>
      <c r="G11" s="56"/>
      <c r="H11" s="56"/>
      <c r="I11" s="56"/>
      <c r="J11" s="57"/>
    </row>
    <row r="13" spans="1:18" ht="15" customHeight="1" x14ac:dyDescent="0.25"/>
    <row r="14" spans="1:18" ht="15" customHeight="1" x14ac:dyDescent="0.25"/>
    <row r="15" spans="1:18" ht="15" customHeight="1" x14ac:dyDescent="0.25"/>
    <row r="16" spans="1:18" ht="15" customHeight="1" x14ac:dyDescent="0.25"/>
    <row r="17" spans="2:2" ht="15" customHeight="1" x14ac:dyDescent="0.25"/>
    <row r="18" spans="2:2" ht="15" customHeight="1" x14ac:dyDescent="0.25"/>
    <row r="19" spans="2:2" x14ac:dyDescent="0.25">
      <c r="B19" s="3"/>
    </row>
  </sheetData>
  <sheetProtection selectLockedCells="1"/>
  <mergeCells count="1">
    <mergeCell ref="L4:R4"/>
  </mergeCells>
  <dataValidations count="3">
    <dataValidation type="list" allowBlank="1" showInputMessage="1" showErrorMessage="1" errorTitle="Invalid planning mode" error="Choose either In Cycle or Down Maintenance." sqref="C5:C11" xr:uid="{B8E655D9-EEB1-431F-BAF0-32BA382B6158}">
      <formula1>"In Cycle,Down Maintenance"</formula1>
    </dataValidation>
    <dataValidation type="custom" allowBlank="1" showInputMessage="1" showErrorMessage="1" errorTitle="Incorrect Date" error="Cycle Reference Date must be a Monday." promptTitle="Input" prompt="Enter the Monday when this aircraft's cycle position is known." sqref="D5:D11" xr:uid="{4763A687-01BC-4621-8B9F-470AC2100A98}">
      <formula1>OR(D2="",WEEKDAY(D2,2)=1)</formula1>
    </dataValidation>
    <dataValidation type="list" allowBlank="1" showInputMessage="1" showErrorMessage="1" errorTitle="Invalid planning mode" error="Choose either In Cycle or Down Maintenance." sqref="E5:E11" xr:uid="{C56B94BF-BAC8-466E-8B47-57821A48F5E5}">
      <formula1>"1,2,3,4,5"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whole" allowBlank="1" showInputMessage="1" showErrorMessage="1" errorTitle="Invalid Number" error="Number must be a whole number between 1 and Cycle Length (as per Settings)" xr:uid="{45367F23-84D8-4088-98AC-7FB392DBE0A2}">
          <x14:formula1>
            <xm:f>1</xm:f>
          </x14:formula1>
          <x14:formula2>
            <xm:f>Settings!$B$26</xm:f>
          </x14:formula2>
          <xm:sqref>E5:E11</xm:sqref>
        </x14:dataValidation>
        <x14:dataValidation type="whole" allowBlank="1" showInputMessage="1" showErrorMessage="1" errorTitle="Invalid Number" error="Number must be a whole number between 1 and Cycle Length (as per Settings)" promptTitle="Input" prompt="Input the Cycle on return. Only required for cabs down for long term maintenance (out of cycle)." xr:uid="{F2AB4ED9-0802-45D9-99EB-A71D0D5EC834}">
          <x14:formula1>
            <xm:f>1</xm:f>
          </x14:formula1>
          <x14:formula2>
            <xm:f>Settings!$B$26</xm:f>
          </x14:formula2>
          <xm:sqref>J5:J11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2F5496"/>
  </sheetPr>
  <dimension ref="A1:K200"/>
  <sheetViews>
    <sheetView zoomScaleNormal="100" workbookViewId="0">
      <pane ySplit="4" topLeftCell="A5" activePane="bottomLeft" state="frozen"/>
      <selection pane="bottomLeft" activeCell="A6" sqref="A6:K6"/>
    </sheetView>
  </sheetViews>
  <sheetFormatPr defaultColWidth="8.5703125" defaultRowHeight="15" x14ac:dyDescent="0.25"/>
  <cols>
    <col min="1" max="3" width="14.7109375" customWidth="1"/>
    <col min="4" max="5" width="32.7109375" customWidth="1"/>
    <col min="6" max="6" width="34.7109375" customWidth="1"/>
    <col min="7" max="8" width="28.7109375" customWidth="1"/>
    <col min="9" max="10" width="16.7109375" customWidth="1"/>
    <col min="11" max="11" width="14.7109375" customWidth="1"/>
  </cols>
  <sheetData>
    <row r="1" spans="1:11" ht="36.950000000000003" customHeight="1" x14ac:dyDescent="0.25">
      <c r="A1" s="84" t="s">
        <v>1529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48" customHeight="1" x14ac:dyDescent="0.25">
      <c r="A2" s="23"/>
      <c r="B2" s="24"/>
      <c r="C2" s="22"/>
      <c r="D2" s="16"/>
      <c r="E2" s="16"/>
      <c r="F2" s="16"/>
      <c r="G2" s="16"/>
      <c r="H2" s="16"/>
      <c r="I2" s="16"/>
      <c r="J2" s="16"/>
    </row>
    <row r="3" spans="1:11" ht="24" customHeight="1" x14ac:dyDescent="0.25">
      <c r="A3" s="83" t="s">
        <v>2235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1" ht="33.950000000000003" customHeight="1" x14ac:dyDescent="0.25">
      <c r="A4" s="11" t="s">
        <v>21</v>
      </c>
      <c r="B4" s="11" t="s">
        <v>1464</v>
      </c>
      <c r="C4" s="11" t="s">
        <v>1516</v>
      </c>
      <c r="D4" s="11" t="s">
        <v>1533</v>
      </c>
      <c r="E4" s="11" t="s">
        <v>1538</v>
      </c>
      <c r="F4" s="11" t="s">
        <v>1539</v>
      </c>
      <c r="G4" s="11" t="s">
        <v>1465</v>
      </c>
      <c r="H4" s="11" t="s">
        <v>1524</v>
      </c>
      <c r="I4" s="11" t="s">
        <v>1466</v>
      </c>
      <c r="J4" s="11" t="s">
        <v>1476</v>
      </c>
      <c r="K4" s="11" t="s">
        <v>1570</v>
      </c>
    </row>
    <row r="5" spans="1:11" ht="66" customHeight="1" x14ac:dyDescent="0.25">
      <c r="A5" s="95" t="s">
        <v>1571</v>
      </c>
      <c r="B5" s="96" t="s">
        <v>1510</v>
      </c>
      <c r="C5" s="96">
        <v>20</v>
      </c>
      <c r="D5" s="30" t="s">
        <v>2236</v>
      </c>
      <c r="E5" s="31" t="s">
        <v>2237</v>
      </c>
      <c r="F5" s="79" t="s">
        <v>2238</v>
      </c>
      <c r="G5" s="32" t="s">
        <v>2239</v>
      </c>
      <c r="H5" s="33" t="s">
        <v>2234</v>
      </c>
      <c r="I5" s="34" t="s">
        <v>1537</v>
      </c>
      <c r="J5" s="77">
        <v>46209</v>
      </c>
      <c r="K5" s="96"/>
    </row>
    <row r="6" spans="1:11" ht="66" customHeight="1" x14ac:dyDescent="0.25">
      <c r="A6" s="95" t="s">
        <v>1626</v>
      </c>
      <c r="B6" s="96" t="s">
        <v>1929</v>
      </c>
      <c r="C6" s="96" t="s">
        <v>1930</v>
      </c>
      <c r="D6" s="30" t="s">
        <v>1931</v>
      </c>
      <c r="E6" s="31" t="s">
        <v>1932</v>
      </c>
      <c r="F6" s="97"/>
      <c r="G6" s="32" t="s">
        <v>2242</v>
      </c>
      <c r="H6" s="33" t="s">
        <v>2243</v>
      </c>
      <c r="I6" s="34" t="s">
        <v>1537</v>
      </c>
      <c r="J6" s="77">
        <v>46209</v>
      </c>
      <c r="K6" s="96"/>
    </row>
    <row r="7" spans="1:11" ht="66" customHeight="1" x14ac:dyDescent="0.25">
      <c r="A7" s="98"/>
      <c r="B7" s="99"/>
      <c r="C7" s="99"/>
      <c r="D7" s="100"/>
      <c r="E7" s="100"/>
      <c r="F7" s="100"/>
      <c r="G7" s="100"/>
      <c r="H7" s="74"/>
      <c r="I7" s="75"/>
      <c r="J7" s="76"/>
      <c r="K7" s="99"/>
    </row>
    <row r="8" spans="1:11" ht="66" customHeight="1" x14ac:dyDescent="0.25">
      <c r="A8" s="98"/>
      <c r="B8" s="99"/>
      <c r="C8" s="99"/>
      <c r="D8" s="100"/>
      <c r="E8" s="100"/>
      <c r="F8" s="100"/>
      <c r="G8" s="100"/>
      <c r="H8" s="74"/>
      <c r="I8" s="75"/>
      <c r="J8" s="76"/>
      <c r="K8" s="99"/>
    </row>
    <row r="9" spans="1:11" ht="66" customHeight="1" x14ac:dyDescent="0.25">
      <c r="A9" s="98"/>
      <c r="B9" s="99"/>
      <c r="C9" s="99"/>
      <c r="D9" s="100"/>
      <c r="E9" s="100"/>
      <c r="F9" s="100"/>
      <c r="G9" s="100"/>
      <c r="H9" s="74"/>
      <c r="I9" s="75"/>
      <c r="J9" s="76"/>
      <c r="K9" s="99"/>
    </row>
    <row r="10" spans="1:11" ht="66" customHeight="1" x14ac:dyDescent="0.25">
      <c r="A10" s="101"/>
      <c r="B10" s="101"/>
      <c r="C10" s="101"/>
      <c r="D10" s="101"/>
      <c r="E10" s="101"/>
      <c r="F10" s="101"/>
      <c r="G10" s="101"/>
      <c r="H10" s="17"/>
      <c r="I10" s="17"/>
      <c r="J10" s="102"/>
      <c r="K10" s="102"/>
    </row>
    <row r="11" spans="1:11" ht="62.1" customHeight="1" x14ac:dyDescent="0.25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</row>
    <row r="12" spans="1:11" ht="62.1" customHeight="1" x14ac:dyDescent="0.25"/>
    <row r="13" spans="1:11" ht="62.1" customHeight="1" x14ac:dyDescent="0.25"/>
    <row r="14" spans="1:11" ht="62.1" customHeight="1" x14ac:dyDescent="0.25"/>
    <row r="15" spans="1:11" ht="62.1" customHeight="1" x14ac:dyDescent="0.25"/>
    <row r="16" spans="1:11" ht="62.1" customHeight="1" x14ac:dyDescent="0.25"/>
    <row r="17" ht="62.1" customHeight="1" x14ac:dyDescent="0.25"/>
    <row r="18" ht="62.1" customHeight="1" x14ac:dyDescent="0.25"/>
    <row r="19" ht="62.1" customHeight="1" x14ac:dyDescent="0.25"/>
    <row r="20" ht="62.1" customHeight="1" x14ac:dyDescent="0.25"/>
    <row r="21" ht="62.1" customHeight="1" x14ac:dyDescent="0.25"/>
    <row r="22" ht="62.1" customHeight="1" x14ac:dyDescent="0.25"/>
    <row r="23" ht="62.1" customHeight="1" x14ac:dyDescent="0.25"/>
    <row r="24" ht="62.1" customHeight="1" x14ac:dyDescent="0.25"/>
    <row r="25" ht="62.1" customHeight="1" x14ac:dyDescent="0.25"/>
    <row r="26" ht="62.1" customHeight="1" x14ac:dyDescent="0.25"/>
    <row r="27" ht="62.1" customHeight="1" x14ac:dyDescent="0.25"/>
    <row r="28" ht="62.1" customHeight="1" x14ac:dyDescent="0.25"/>
    <row r="29" ht="62.1" customHeight="1" x14ac:dyDescent="0.25"/>
    <row r="30" ht="62.1" customHeight="1" x14ac:dyDescent="0.25"/>
    <row r="31" ht="62.1" customHeight="1" x14ac:dyDescent="0.25"/>
    <row r="32" ht="62.1" customHeight="1" x14ac:dyDescent="0.25"/>
    <row r="33" ht="62.1" customHeight="1" x14ac:dyDescent="0.25"/>
    <row r="34" ht="62.1" customHeight="1" x14ac:dyDescent="0.25"/>
    <row r="35" ht="62.1" customHeight="1" x14ac:dyDescent="0.25"/>
    <row r="36" ht="62.1" customHeight="1" x14ac:dyDescent="0.25"/>
    <row r="37" ht="62.1" customHeight="1" x14ac:dyDescent="0.25"/>
    <row r="38" ht="62.1" customHeight="1" x14ac:dyDescent="0.25"/>
    <row r="39" ht="62.1" customHeight="1" x14ac:dyDescent="0.25"/>
    <row r="40" ht="62.1" customHeight="1" x14ac:dyDescent="0.25"/>
    <row r="41" ht="62.1" customHeight="1" x14ac:dyDescent="0.25"/>
    <row r="42" ht="62.1" customHeight="1" x14ac:dyDescent="0.25"/>
    <row r="43" ht="62.1" customHeight="1" x14ac:dyDescent="0.25"/>
    <row r="44" ht="62.1" customHeight="1" x14ac:dyDescent="0.25"/>
    <row r="45" ht="62.1" customHeight="1" x14ac:dyDescent="0.25"/>
    <row r="46" ht="62.1" customHeight="1" x14ac:dyDescent="0.25"/>
    <row r="47" ht="62.1" customHeight="1" x14ac:dyDescent="0.25"/>
    <row r="48" ht="62.1" customHeight="1" x14ac:dyDescent="0.25"/>
    <row r="49" ht="62.1" customHeight="1" x14ac:dyDescent="0.25"/>
    <row r="50" ht="62.1" customHeight="1" x14ac:dyDescent="0.25"/>
    <row r="51" ht="62.1" customHeight="1" x14ac:dyDescent="0.25"/>
    <row r="52" ht="62.1" customHeight="1" x14ac:dyDescent="0.25"/>
    <row r="53" ht="62.1" customHeight="1" x14ac:dyDescent="0.25"/>
    <row r="54" ht="62.1" customHeight="1" x14ac:dyDescent="0.25"/>
    <row r="55" ht="62.1" customHeight="1" x14ac:dyDescent="0.25"/>
    <row r="56" ht="62.1" customHeight="1" x14ac:dyDescent="0.25"/>
    <row r="57" ht="62.1" customHeight="1" x14ac:dyDescent="0.25"/>
    <row r="58" ht="62.1" customHeight="1" x14ac:dyDescent="0.25"/>
    <row r="59" ht="62.1" customHeight="1" x14ac:dyDescent="0.25"/>
    <row r="60" ht="62.1" customHeight="1" x14ac:dyDescent="0.25"/>
    <row r="61" ht="62.1" customHeight="1" x14ac:dyDescent="0.25"/>
    <row r="62" ht="62.1" customHeight="1" x14ac:dyDescent="0.25"/>
    <row r="63" ht="62.1" customHeight="1" x14ac:dyDescent="0.25"/>
    <row r="64" ht="62.1" customHeight="1" x14ac:dyDescent="0.25"/>
    <row r="65" ht="62.1" customHeight="1" x14ac:dyDescent="0.25"/>
    <row r="66" ht="62.1" customHeight="1" x14ac:dyDescent="0.25"/>
    <row r="67" ht="62.1" customHeight="1" x14ac:dyDescent="0.25"/>
    <row r="68" ht="62.1" customHeight="1" x14ac:dyDescent="0.25"/>
    <row r="69" ht="62.1" customHeight="1" x14ac:dyDescent="0.25"/>
    <row r="70" ht="62.1" customHeight="1" x14ac:dyDescent="0.25"/>
    <row r="71" ht="62.1" customHeight="1" x14ac:dyDescent="0.25"/>
    <row r="72" ht="62.1" customHeight="1" x14ac:dyDescent="0.25"/>
    <row r="73" ht="62.1" customHeight="1" x14ac:dyDescent="0.25"/>
    <row r="74" ht="62.1" customHeight="1" x14ac:dyDescent="0.25"/>
    <row r="75" ht="62.1" customHeight="1" x14ac:dyDescent="0.25"/>
    <row r="76" ht="62.1" customHeight="1" x14ac:dyDescent="0.25"/>
    <row r="77" ht="62.1" customHeight="1" x14ac:dyDescent="0.25"/>
    <row r="78" ht="62.1" customHeight="1" x14ac:dyDescent="0.25"/>
    <row r="79" ht="62.1" customHeight="1" x14ac:dyDescent="0.25"/>
    <row r="80" ht="62.1" customHeight="1" x14ac:dyDescent="0.25"/>
    <row r="81" ht="62.1" customHeight="1" x14ac:dyDescent="0.25"/>
    <row r="82" ht="62.1" customHeight="1" x14ac:dyDescent="0.25"/>
    <row r="83" ht="62.1" customHeight="1" x14ac:dyDescent="0.25"/>
    <row r="84" ht="62.1" customHeight="1" x14ac:dyDescent="0.25"/>
    <row r="85" ht="62.1" customHeight="1" x14ac:dyDescent="0.25"/>
    <row r="86" ht="62.1" customHeight="1" x14ac:dyDescent="0.25"/>
    <row r="87" ht="62.1" customHeight="1" x14ac:dyDescent="0.25"/>
    <row r="88" ht="62.1" customHeight="1" x14ac:dyDescent="0.25"/>
    <row r="89" ht="62.1" customHeight="1" x14ac:dyDescent="0.25"/>
    <row r="90" ht="62.1" customHeight="1" x14ac:dyDescent="0.25"/>
    <row r="91" ht="62.1" customHeight="1" x14ac:dyDescent="0.25"/>
    <row r="92" ht="62.1" customHeight="1" x14ac:dyDescent="0.25"/>
    <row r="93" ht="62.1" customHeight="1" x14ac:dyDescent="0.25"/>
    <row r="94" ht="62.1" customHeight="1" x14ac:dyDescent="0.25"/>
    <row r="95" ht="62.1" customHeight="1" x14ac:dyDescent="0.25"/>
    <row r="96" ht="62.1" customHeight="1" x14ac:dyDescent="0.25"/>
    <row r="97" ht="62.1" customHeight="1" x14ac:dyDescent="0.25"/>
    <row r="98" ht="62.1" customHeight="1" x14ac:dyDescent="0.25"/>
    <row r="99" ht="62.1" customHeight="1" x14ac:dyDescent="0.25"/>
    <row r="100" ht="62.1" customHeight="1" x14ac:dyDescent="0.25"/>
    <row r="101" ht="62.1" customHeight="1" x14ac:dyDescent="0.25"/>
    <row r="102" ht="62.1" customHeight="1" x14ac:dyDescent="0.25"/>
    <row r="103" ht="62.1" customHeight="1" x14ac:dyDescent="0.25"/>
    <row r="104" ht="62.1" customHeight="1" x14ac:dyDescent="0.25"/>
    <row r="105" ht="62.1" customHeight="1" x14ac:dyDescent="0.25"/>
    <row r="106" ht="62.1" customHeight="1" x14ac:dyDescent="0.25"/>
    <row r="107" ht="62.1" customHeight="1" x14ac:dyDescent="0.25"/>
    <row r="108" ht="62.1" customHeight="1" x14ac:dyDescent="0.25"/>
    <row r="109" ht="62.1" customHeight="1" x14ac:dyDescent="0.25"/>
    <row r="110" ht="62.1" customHeight="1" x14ac:dyDescent="0.25"/>
    <row r="111" ht="62.1" customHeight="1" x14ac:dyDescent="0.25"/>
    <row r="112" ht="62.1" customHeight="1" x14ac:dyDescent="0.25"/>
    <row r="113" ht="62.1" customHeight="1" x14ac:dyDescent="0.25"/>
    <row r="114" ht="62.1" customHeight="1" x14ac:dyDescent="0.25"/>
    <row r="115" ht="62.1" customHeight="1" x14ac:dyDescent="0.25"/>
    <row r="116" ht="62.1" customHeight="1" x14ac:dyDescent="0.25"/>
    <row r="117" ht="62.1" customHeight="1" x14ac:dyDescent="0.25"/>
    <row r="118" ht="62.1" customHeight="1" x14ac:dyDescent="0.25"/>
    <row r="119" ht="62.1" customHeight="1" x14ac:dyDescent="0.25"/>
    <row r="120" ht="62.1" customHeight="1" x14ac:dyDescent="0.25"/>
    <row r="121" ht="62.1" customHeight="1" x14ac:dyDescent="0.25"/>
    <row r="122" ht="62.1" customHeight="1" x14ac:dyDescent="0.25"/>
    <row r="123" ht="62.1" customHeight="1" x14ac:dyDescent="0.25"/>
    <row r="124" ht="62.1" customHeight="1" x14ac:dyDescent="0.25"/>
    <row r="125" ht="62.1" customHeight="1" x14ac:dyDescent="0.25"/>
    <row r="126" ht="62.1" customHeight="1" x14ac:dyDescent="0.25"/>
    <row r="127" ht="62.1" customHeight="1" x14ac:dyDescent="0.25"/>
    <row r="128" ht="62.1" customHeight="1" x14ac:dyDescent="0.25"/>
    <row r="129" ht="62.1" customHeight="1" x14ac:dyDescent="0.25"/>
    <row r="130" ht="62.1" customHeight="1" x14ac:dyDescent="0.25"/>
    <row r="131" ht="62.1" customHeight="1" x14ac:dyDescent="0.25"/>
    <row r="132" ht="62.1" customHeight="1" x14ac:dyDescent="0.25"/>
    <row r="133" ht="62.1" customHeight="1" x14ac:dyDescent="0.25"/>
    <row r="134" ht="62.1" customHeight="1" x14ac:dyDescent="0.25"/>
    <row r="135" ht="62.1" customHeight="1" x14ac:dyDescent="0.25"/>
    <row r="136" ht="62.1" customHeight="1" x14ac:dyDescent="0.25"/>
    <row r="137" ht="62.1" customHeight="1" x14ac:dyDescent="0.25"/>
    <row r="138" ht="62.1" customHeight="1" x14ac:dyDescent="0.25"/>
    <row r="139" ht="62.1" customHeight="1" x14ac:dyDescent="0.25"/>
    <row r="140" ht="62.1" customHeight="1" x14ac:dyDescent="0.25"/>
    <row r="141" ht="62.1" customHeight="1" x14ac:dyDescent="0.25"/>
    <row r="142" ht="62.1" customHeight="1" x14ac:dyDescent="0.25"/>
    <row r="143" ht="62.1" customHeight="1" x14ac:dyDescent="0.25"/>
    <row r="144" ht="62.1" customHeight="1" x14ac:dyDescent="0.25"/>
    <row r="145" ht="62.1" customHeight="1" x14ac:dyDescent="0.25"/>
    <row r="146" ht="62.1" customHeight="1" x14ac:dyDescent="0.25"/>
    <row r="147" ht="62.1" customHeight="1" x14ac:dyDescent="0.25"/>
    <row r="148" ht="62.1" customHeight="1" x14ac:dyDescent="0.25"/>
    <row r="149" ht="62.1" customHeight="1" x14ac:dyDescent="0.25"/>
    <row r="150" ht="62.1" customHeight="1" x14ac:dyDescent="0.25"/>
    <row r="151" ht="62.1" customHeight="1" x14ac:dyDescent="0.25"/>
    <row r="152" ht="62.1" customHeight="1" x14ac:dyDescent="0.25"/>
    <row r="153" ht="62.1" customHeight="1" x14ac:dyDescent="0.25"/>
    <row r="154" ht="62.1" customHeight="1" x14ac:dyDescent="0.25"/>
    <row r="155" ht="62.1" customHeight="1" x14ac:dyDescent="0.25"/>
    <row r="156" ht="62.1" customHeight="1" x14ac:dyDescent="0.25"/>
    <row r="157" ht="62.1" customHeight="1" x14ac:dyDescent="0.25"/>
    <row r="158" ht="62.1" customHeight="1" x14ac:dyDescent="0.25"/>
    <row r="159" ht="62.1" customHeight="1" x14ac:dyDescent="0.25"/>
    <row r="160" ht="62.1" customHeight="1" x14ac:dyDescent="0.25"/>
    <row r="161" ht="62.1" customHeight="1" x14ac:dyDescent="0.25"/>
    <row r="162" ht="62.1" customHeight="1" x14ac:dyDescent="0.25"/>
    <row r="163" ht="62.1" customHeight="1" x14ac:dyDescent="0.25"/>
    <row r="164" ht="62.1" customHeight="1" x14ac:dyDescent="0.25"/>
    <row r="165" ht="62.1" customHeight="1" x14ac:dyDescent="0.25"/>
    <row r="166" ht="62.1" customHeight="1" x14ac:dyDescent="0.25"/>
    <row r="167" ht="62.1" customHeight="1" x14ac:dyDescent="0.25"/>
    <row r="168" ht="62.1" customHeight="1" x14ac:dyDescent="0.25"/>
    <row r="169" ht="62.1" customHeight="1" x14ac:dyDescent="0.25"/>
    <row r="170" ht="62.1" customHeight="1" x14ac:dyDescent="0.25"/>
    <row r="171" ht="62.1" customHeight="1" x14ac:dyDescent="0.25"/>
    <row r="172" ht="62.1" customHeight="1" x14ac:dyDescent="0.25"/>
    <row r="173" ht="62.1" customHeight="1" x14ac:dyDescent="0.25"/>
    <row r="174" ht="62.1" customHeight="1" x14ac:dyDescent="0.25"/>
    <row r="175" ht="62.1" customHeight="1" x14ac:dyDescent="0.25"/>
    <row r="176" ht="62.1" customHeight="1" x14ac:dyDescent="0.25"/>
    <row r="177" ht="62.1" customHeight="1" x14ac:dyDescent="0.25"/>
    <row r="178" ht="62.1" customHeight="1" x14ac:dyDescent="0.25"/>
    <row r="179" ht="62.1" customHeight="1" x14ac:dyDescent="0.25"/>
    <row r="180" ht="62.1" customHeight="1" x14ac:dyDescent="0.25"/>
    <row r="181" ht="62.1" customHeight="1" x14ac:dyDescent="0.25"/>
    <row r="182" ht="62.1" customHeight="1" x14ac:dyDescent="0.25"/>
    <row r="183" ht="62.1" customHeight="1" x14ac:dyDescent="0.25"/>
    <row r="184" ht="62.1" customHeight="1" x14ac:dyDescent="0.25"/>
    <row r="185" ht="62.1" customHeight="1" x14ac:dyDescent="0.25"/>
    <row r="186" ht="62.1" customHeight="1" x14ac:dyDescent="0.25"/>
    <row r="187" ht="62.1" customHeight="1" x14ac:dyDescent="0.25"/>
    <row r="188" ht="62.1" customHeight="1" x14ac:dyDescent="0.25"/>
    <row r="189" ht="62.1" customHeight="1" x14ac:dyDescent="0.25"/>
    <row r="190" ht="62.1" customHeight="1" x14ac:dyDescent="0.25"/>
    <row r="191" ht="62.1" customHeight="1" x14ac:dyDescent="0.25"/>
    <row r="192" ht="62.1" customHeight="1" x14ac:dyDescent="0.25"/>
    <row r="193" ht="62.1" customHeight="1" x14ac:dyDescent="0.25"/>
    <row r="194" ht="62.1" customHeight="1" x14ac:dyDescent="0.25"/>
    <row r="195" ht="62.1" customHeight="1" x14ac:dyDescent="0.25"/>
    <row r="196" ht="62.1" customHeight="1" x14ac:dyDescent="0.25"/>
    <row r="197" ht="62.1" customHeight="1" x14ac:dyDescent="0.25"/>
    <row r="198" ht="62.1" customHeight="1" x14ac:dyDescent="0.25"/>
    <row r="199" ht="62.1" customHeight="1" x14ac:dyDescent="0.25"/>
    <row r="200" ht="62.1" customHeight="1" x14ac:dyDescent="0.25"/>
  </sheetData>
  <sheetProtection selectLockedCells="1"/>
  <mergeCells count="2">
    <mergeCell ref="A3:K3"/>
    <mergeCell ref="A1:K1"/>
  </mergeCells>
  <hyperlinks>
    <hyperlink ref="I5" location="'ZZ382_CHART'!A1" display="Open Chart" xr:uid="{DFEA4BCC-6140-4539-A768-34DD6BFC5A54}"/>
    <hyperlink ref="J5" location="'ZZ382_IMPORT'!A1" display="06/07/2026" xr:uid="{0B2F6CF9-6E67-4460-B88E-E40CA511F324}"/>
    <hyperlink ref="I6" location="'ZZ388_CHART'!A1" display="Open Chart" xr:uid="{CCEEEEC6-FFCC-4B2F-B65D-259BA6EDDE28}"/>
    <hyperlink ref="J6" location="'ZZ388_IMPORT'!A1" display="06/07/2026" xr:uid="{900C70E1-1D72-486A-B4FC-AE915CE728D6}"/>
  </hyperlink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3477" r:id="rId4" name="Button 4293">
              <controlPr defaultSize="0" print="0" autoFill="0" autoPict="0" macro="[0]!ShowAircraftManager">
                <anchor moveWithCells="1" sizeWithCells="1">
                  <from>
                    <xdr:col>0</xdr:col>
                    <xdr:colOff>104775</xdr:colOff>
                    <xdr:row>1</xdr:row>
                    <xdr:rowOff>28575</xdr:rowOff>
                  </from>
                  <to>
                    <xdr:col>0</xdr:col>
                    <xdr:colOff>923925</xdr:colOff>
                    <xdr:row>1</xdr:row>
                    <xdr:rowOff>581025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78" r:id="rId5" name="Button 4294">
              <controlPr defaultSize="0" print="0" autoFill="0" autoPict="0" macro="[0]!ShowPlannerSettings">
                <anchor moveWithCells="1" sizeWithCells="1">
                  <from>
                    <xdr:col>1</xdr:col>
                    <xdr:colOff>104775</xdr:colOff>
                    <xdr:row>1</xdr:row>
                    <xdr:rowOff>28575</xdr:rowOff>
                  </from>
                  <to>
                    <xdr:col>1</xdr:col>
                    <xdr:colOff>923925</xdr:colOff>
                    <xdr:row>1</xdr:row>
                    <xdr:rowOff>581025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49" r:id="rId6" name="ZZ383_dashReimport">
              <controlPr defaultSize="0" print="0" autoFill="0" autoPict="0" macro="[0]!ReimportFromDashboardButton">
                <anchor moveWithCells="1" sizeWithCells="1">
                  <from>
                    <xdr:col>10</xdr:col>
                    <xdr:colOff>28575</xdr:colOff>
                    <xdr:row>4</xdr:row>
                    <xdr:rowOff>57150</xdr:rowOff>
                  </from>
                  <to>
                    <xdr:col>10</xdr:col>
                    <xdr:colOff>1009650</xdr:colOff>
                    <xdr:row>4</xdr:row>
                    <xdr:rowOff>790575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44" r:id="rId7" name="Button 4960">
              <controlPr defaultSize="0" print="0" autoFill="0" autoPict="0" macro="[0]!ShowTaskRules">
                <anchor moveWithCells="1" sizeWithCells="1">
                  <from>
                    <xdr:col>2</xdr:col>
                    <xdr:colOff>104775</xdr:colOff>
                    <xdr:row>1</xdr:row>
                    <xdr:rowOff>28575</xdr:rowOff>
                  </from>
                  <to>
                    <xdr:col>2</xdr:col>
                    <xdr:colOff>923925</xdr:colOff>
                    <xdr:row>1</xdr:row>
                    <xdr:rowOff>581025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45" r:id="rId8" name="Button 4961">
              <controlPr defaultSize="0" print="0" autoFill="0" autoPict="0" macro="[0]!RefreshAll">
                <anchor moveWithCells="1" sizeWithCells="1">
                  <from>
                    <xdr:col>3</xdr:col>
                    <xdr:colOff>104775</xdr:colOff>
                    <xdr:row>1</xdr:row>
                    <xdr:rowOff>28575</xdr:rowOff>
                  </from>
                  <to>
                    <xdr:col>3</xdr:col>
                    <xdr:colOff>923925</xdr:colOff>
                    <xdr:row>1</xdr:row>
                    <xdr:rowOff>581025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849" r:id="rId9" name="dashReimport_5">
              <controlPr defaultSize="0" print="0" autoFill="0" autoPict="0" macro="[0]!ReimportFromDashboardButton">
                <anchor moveWithCells="1" sizeWithCells="1">
                  <from>
                    <xdr:col>10</xdr:col>
                    <xdr:colOff>19050</xdr:colOff>
                    <xdr:row>4</xdr:row>
                    <xdr:rowOff>47625</xdr:rowOff>
                  </from>
                  <to>
                    <xdr:col>10</xdr:col>
                    <xdr:colOff>952500</xdr:colOff>
                    <xdr:row>4</xdr:row>
                    <xdr:rowOff>781050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8850" r:id="rId10" name="dashReimport_6">
              <controlPr defaultSize="0" print="0" autoFill="0" autoPict="0" macro="[0]!ReimportFromDashboardButton">
                <anchor moveWithCells="1" sizeWithCells="1">
                  <from>
                    <xdr:col>10</xdr:col>
                    <xdr:colOff>19050</xdr:colOff>
                    <xdr:row>5</xdr:row>
                    <xdr:rowOff>47625</xdr:rowOff>
                  </from>
                  <to>
                    <xdr:col>10</xdr:col>
                    <xdr:colOff>952500</xdr:colOff>
                    <xdr:row>5</xdr:row>
                    <xdr:rowOff>781050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FDED-E4ED-4CB0-B32A-EDFD7E3CAAE7}">
  <sheetPr codeName="Sheet11">
    <tabColor rgb="FF808080"/>
  </sheetPr>
  <dimension ref="A1:M15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8.5703125" customWidth="1"/>
    <col min="2" max="2" width="18.5703125" customWidth="1"/>
    <col min="3" max="3" width="14.5703125" customWidth="1"/>
    <col min="4" max="4" width="22.5703125" customWidth="1"/>
    <col min="5" max="5" width="14.5703125" customWidth="1"/>
    <col min="6" max="6" width="50.5703125" customWidth="1"/>
    <col min="7" max="8" width="14.5703125" customWidth="1"/>
    <col min="9" max="9" width="12.5703125" customWidth="1"/>
    <col min="10" max="10" width="18.5703125" customWidth="1"/>
    <col min="11" max="11" width="16.5703125" customWidth="1"/>
    <col min="13" max="13" width="20.5703125" customWidth="1"/>
  </cols>
  <sheetData>
    <row r="1" spans="1:13" x14ac:dyDescent="0.25">
      <c r="A1" s="12" t="s">
        <v>33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M1" s="13" t="s">
        <v>1476</v>
      </c>
    </row>
    <row r="2" spans="1:13" x14ac:dyDescent="0.25">
      <c r="A2" s="5" t="s">
        <v>1463</v>
      </c>
      <c r="B2" t="s">
        <v>35</v>
      </c>
      <c r="C2" t="s">
        <v>1933</v>
      </c>
      <c r="D2" t="s">
        <v>36</v>
      </c>
      <c r="E2">
        <v>0</v>
      </c>
      <c r="F2" t="s">
        <v>37</v>
      </c>
      <c r="G2" t="s">
        <v>1571</v>
      </c>
      <c r="H2" t="s">
        <v>38</v>
      </c>
      <c r="I2" s="8">
        <v>0</v>
      </c>
      <c r="J2" s="69"/>
      <c r="K2" t="s">
        <v>1571</v>
      </c>
      <c r="M2" s="70">
        <v>46209.679340277777</v>
      </c>
    </row>
    <row r="3" spans="1:13" x14ac:dyDescent="0.25">
      <c r="A3" s="5" t="s">
        <v>22</v>
      </c>
      <c r="B3" t="s">
        <v>39</v>
      </c>
      <c r="C3" s="9">
        <v>277.15347222222221</v>
      </c>
      <c r="D3" t="s">
        <v>64</v>
      </c>
      <c r="E3">
        <v>0</v>
      </c>
      <c r="F3" t="s">
        <v>65</v>
      </c>
      <c r="G3" t="s">
        <v>1934</v>
      </c>
      <c r="H3" s="9" t="s">
        <v>66</v>
      </c>
      <c r="I3" s="8">
        <v>0</v>
      </c>
      <c r="J3" s="69"/>
      <c r="K3" t="s">
        <v>1571</v>
      </c>
    </row>
    <row r="4" spans="1:13" x14ac:dyDescent="0.25">
      <c r="A4" s="5" t="s">
        <v>22</v>
      </c>
      <c r="B4" t="s">
        <v>39</v>
      </c>
      <c r="C4" s="9">
        <v>29.067361111111111</v>
      </c>
      <c r="D4" t="s">
        <v>58</v>
      </c>
      <c r="E4">
        <v>0</v>
      </c>
      <c r="F4" t="s">
        <v>59</v>
      </c>
      <c r="G4" t="s">
        <v>1934</v>
      </c>
      <c r="H4" s="9">
        <v>41.666666666666664</v>
      </c>
      <c r="I4" s="8">
        <v>0</v>
      </c>
      <c r="J4" s="69"/>
      <c r="K4" t="s">
        <v>1571</v>
      </c>
    </row>
    <row r="5" spans="1:13" x14ac:dyDescent="0.25">
      <c r="A5" s="5" t="s">
        <v>22</v>
      </c>
      <c r="B5" t="s">
        <v>39</v>
      </c>
      <c r="C5" s="9">
        <v>277.15347222222221</v>
      </c>
      <c r="D5" t="s">
        <v>67</v>
      </c>
      <c r="E5">
        <v>0</v>
      </c>
      <c r="F5" t="s">
        <v>68</v>
      </c>
      <c r="G5" t="s">
        <v>1935</v>
      </c>
      <c r="H5" s="9" t="s">
        <v>66</v>
      </c>
      <c r="I5" s="8">
        <v>0</v>
      </c>
      <c r="J5" s="69"/>
      <c r="K5" t="s">
        <v>1571</v>
      </c>
    </row>
    <row r="6" spans="1:13" x14ac:dyDescent="0.25">
      <c r="A6" s="5" t="s">
        <v>22</v>
      </c>
      <c r="B6" t="s">
        <v>39</v>
      </c>
      <c r="C6" s="9">
        <v>277.15347222222221</v>
      </c>
      <c r="D6" t="s">
        <v>69</v>
      </c>
      <c r="E6">
        <v>0</v>
      </c>
      <c r="F6" t="s">
        <v>70</v>
      </c>
      <c r="G6" t="s">
        <v>1936</v>
      </c>
      <c r="H6" s="9" t="s">
        <v>66</v>
      </c>
      <c r="I6" s="8">
        <v>0</v>
      </c>
      <c r="J6" s="69"/>
      <c r="K6" t="s">
        <v>1571</v>
      </c>
    </row>
    <row r="7" spans="1:13" x14ac:dyDescent="0.25">
      <c r="A7" s="5" t="s">
        <v>22</v>
      </c>
      <c r="B7" t="s">
        <v>39</v>
      </c>
      <c r="C7" s="9" t="s">
        <v>1937</v>
      </c>
      <c r="D7" t="s">
        <v>107</v>
      </c>
      <c r="E7">
        <v>0</v>
      </c>
      <c r="F7" t="s">
        <v>108</v>
      </c>
      <c r="G7" t="s">
        <v>1938</v>
      </c>
      <c r="H7" s="9" t="s">
        <v>38</v>
      </c>
      <c r="I7" s="8">
        <v>0</v>
      </c>
      <c r="J7" s="69"/>
      <c r="K7" t="s">
        <v>1571</v>
      </c>
    </row>
    <row r="8" spans="1:13" x14ac:dyDescent="0.25">
      <c r="A8" s="5" t="s">
        <v>22</v>
      </c>
      <c r="B8" t="s">
        <v>39</v>
      </c>
      <c r="C8" s="9" t="s">
        <v>1939</v>
      </c>
      <c r="D8" t="s">
        <v>109</v>
      </c>
      <c r="E8">
        <v>0</v>
      </c>
      <c r="F8" t="s">
        <v>110</v>
      </c>
      <c r="G8" t="s">
        <v>1940</v>
      </c>
      <c r="H8" s="9" t="s">
        <v>38</v>
      </c>
      <c r="I8" s="8">
        <v>0</v>
      </c>
      <c r="J8" s="69"/>
      <c r="K8" t="s">
        <v>1571</v>
      </c>
    </row>
    <row r="9" spans="1:13" x14ac:dyDescent="0.25">
      <c r="A9" s="5" t="s">
        <v>22</v>
      </c>
      <c r="B9" t="s">
        <v>39</v>
      </c>
      <c r="C9" s="9" t="s">
        <v>1941</v>
      </c>
      <c r="D9" t="s">
        <v>111</v>
      </c>
      <c r="E9">
        <v>0</v>
      </c>
      <c r="F9" t="s">
        <v>112</v>
      </c>
      <c r="G9" t="s">
        <v>1940</v>
      </c>
      <c r="H9" s="9" t="s">
        <v>38</v>
      </c>
      <c r="I9" s="8">
        <v>0</v>
      </c>
      <c r="J9" s="69"/>
      <c r="K9" t="s">
        <v>1571</v>
      </c>
    </row>
    <row r="10" spans="1:13" x14ac:dyDescent="0.25">
      <c r="A10" s="5" t="s">
        <v>22</v>
      </c>
      <c r="B10" t="s">
        <v>39</v>
      </c>
      <c r="C10" s="9">
        <v>4.2361111111111107</v>
      </c>
      <c r="D10" t="s">
        <v>50</v>
      </c>
      <c r="E10">
        <v>0</v>
      </c>
      <c r="F10" t="s">
        <v>51</v>
      </c>
      <c r="G10" t="s">
        <v>1940</v>
      </c>
      <c r="H10" s="9">
        <v>12.5</v>
      </c>
      <c r="I10" s="8">
        <v>0</v>
      </c>
      <c r="J10" s="69"/>
      <c r="K10" t="s">
        <v>1571</v>
      </c>
    </row>
    <row r="11" spans="1:13" x14ac:dyDescent="0.25">
      <c r="A11" s="5" t="s">
        <v>22</v>
      </c>
      <c r="B11" t="s">
        <v>39</v>
      </c>
      <c r="C11" s="9" t="s">
        <v>1942</v>
      </c>
      <c r="D11" t="s">
        <v>95</v>
      </c>
      <c r="E11">
        <v>0</v>
      </c>
      <c r="F11" t="s">
        <v>96</v>
      </c>
      <c r="G11" t="s">
        <v>1571</v>
      </c>
      <c r="H11" s="9" t="s">
        <v>38</v>
      </c>
      <c r="I11" s="8">
        <v>0</v>
      </c>
      <c r="J11" s="69"/>
      <c r="K11" t="s">
        <v>1571</v>
      </c>
    </row>
    <row r="12" spans="1:13" x14ac:dyDescent="0.25">
      <c r="A12" s="5" t="s">
        <v>22</v>
      </c>
      <c r="B12" t="s">
        <v>39</v>
      </c>
      <c r="C12" s="9">
        <v>41.984722222222224</v>
      </c>
      <c r="D12" t="s">
        <v>62</v>
      </c>
      <c r="E12">
        <v>0</v>
      </c>
      <c r="F12" t="s">
        <v>63</v>
      </c>
      <c r="G12" t="s">
        <v>1943</v>
      </c>
      <c r="H12" s="9">
        <v>62.5</v>
      </c>
      <c r="I12" s="8">
        <v>0</v>
      </c>
      <c r="J12" s="69"/>
      <c r="K12" t="s">
        <v>1571</v>
      </c>
    </row>
    <row r="13" spans="1:13" x14ac:dyDescent="0.25">
      <c r="A13" s="5" t="s">
        <v>22</v>
      </c>
      <c r="B13" t="s">
        <v>39</v>
      </c>
      <c r="C13" s="9">
        <v>8.4027777777777786</v>
      </c>
      <c r="D13" t="s">
        <v>52</v>
      </c>
      <c r="E13">
        <v>0</v>
      </c>
      <c r="F13" t="s">
        <v>53</v>
      </c>
      <c r="G13" t="s">
        <v>1943</v>
      </c>
      <c r="H13" s="9">
        <v>16.666666666666668</v>
      </c>
      <c r="I13" s="8">
        <v>0</v>
      </c>
      <c r="J13" s="69"/>
      <c r="K13" t="s">
        <v>1571</v>
      </c>
    </row>
    <row r="14" spans="1:13" x14ac:dyDescent="0.25">
      <c r="A14" s="5" t="s">
        <v>22</v>
      </c>
      <c r="B14" t="s">
        <v>39</v>
      </c>
      <c r="C14" s="9">
        <v>3.6881944444444446</v>
      </c>
      <c r="D14" t="s">
        <v>1573</v>
      </c>
      <c r="E14">
        <v>0</v>
      </c>
      <c r="F14" t="s">
        <v>1574</v>
      </c>
      <c r="G14" t="s">
        <v>1943</v>
      </c>
      <c r="H14" s="9">
        <v>8.3333333333333339</v>
      </c>
      <c r="I14" s="8">
        <v>0</v>
      </c>
      <c r="J14" s="69"/>
      <c r="K14" t="s">
        <v>1571</v>
      </c>
    </row>
    <row r="15" spans="1:13" x14ac:dyDescent="0.25">
      <c r="A15" s="5" t="s">
        <v>22</v>
      </c>
      <c r="B15" t="s">
        <v>39</v>
      </c>
      <c r="C15" s="9">
        <v>40.337499999999999</v>
      </c>
      <c r="D15" t="s">
        <v>40</v>
      </c>
      <c r="E15">
        <v>0</v>
      </c>
      <c r="F15" t="s">
        <v>41</v>
      </c>
      <c r="G15" t="s">
        <v>1943</v>
      </c>
      <c r="H15" s="9">
        <v>41.666666666666664</v>
      </c>
      <c r="I15" s="8">
        <v>0</v>
      </c>
      <c r="J15" s="69"/>
      <c r="K15" t="s">
        <v>1571</v>
      </c>
    </row>
    <row r="16" spans="1:13" x14ac:dyDescent="0.25">
      <c r="A16" s="5" t="s">
        <v>22</v>
      </c>
      <c r="B16" t="s">
        <v>39</v>
      </c>
      <c r="C16" s="9">
        <v>40.337499999999999</v>
      </c>
      <c r="D16" t="s">
        <v>42</v>
      </c>
      <c r="E16">
        <v>0</v>
      </c>
      <c r="F16" t="s">
        <v>43</v>
      </c>
      <c r="G16" t="s">
        <v>1943</v>
      </c>
      <c r="H16" s="9">
        <v>41.666666666666664</v>
      </c>
      <c r="I16" s="8">
        <v>0</v>
      </c>
      <c r="J16" s="69"/>
      <c r="K16" t="s">
        <v>1571</v>
      </c>
    </row>
    <row r="17" spans="1:11" x14ac:dyDescent="0.25">
      <c r="A17" s="5" t="s">
        <v>22</v>
      </c>
      <c r="B17" t="s">
        <v>39</v>
      </c>
      <c r="C17" s="9">
        <v>4.0673611111111114</v>
      </c>
      <c r="D17" t="s">
        <v>44</v>
      </c>
      <c r="E17">
        <v>0</v>
      </c>
      <c r="F17" t="s">
        <v>45</v>
      </c>
      <c r="G17" t="s">
        <v>1943</v>
      </c>
      <c r="H17" s="9">
        <v>16.666666666666668</v>
      </c>
      <c r="I17" s="8">
        <v>0</v>
      </c>
      <c r="J17" s="69"/>
      <c r="K17" t="s">
        <v>1571</v>
      </c>
    </row>
    <row r="18" spans="1:11" x14ac:dyDescent="0.25">
      <c r="A18" s="5" t="s">
        <v>22</v>
      </c>
      <c r="B18" t="s">
        <v>39</v>
      </c>
      <c r="C18" s="9">
        <v>4.0673611111111114</v>
      </c>
      <c r="D18" t="s">
        <v>46</v>
      </c>
      <c r="E18">
        <v>0</v>
      </c>
      <c r="F18" t="s">
        <v>47</v>
      </c>
      <c r="G18" t="s">
        <v>1943</v>
      </c>
      <c r="H18" s="9">
        <v>16.666666666666668</v>
      </c>
      <c r="I18" s="8">
        <v>0</v>
      </c>
      <c r="J18" s="69"/>
      <c r="K18" t="s">
        <v>1571</v>
      </c>
    </row>
    <row r="19" spans="1:11" x14ac:dyDescent="0.25">
      <c r="A19" s="5" t="s">
        <v>22</v>
      </c>
      <c r="B19" t="s">
        <v>39</v>
      </c>
      <c r="C19" s="9">
        <v>12.021527777777777</v>
      </c>
      <c r="D19" t="s">
        <v>54</v>
      </c>
      <c r="E19">
        <v>0</v>
      </c>
      <c r="F19" t="s">
        <v>55</v>
      </c>
      <c r="G19" t="s">
        <v>1943</v>
      </c>
      <c r="H19" s="9">
        <v>16.666666666666668</v>
      </c>
      <c r="I19" s="8">
        <v>0</v>
      </c>
      <c r="J19" s="69"/>
      <c r="K19" t="s">
        <v>1571</v>
      </c>
    </row>
    <row r="20" spans="1:11" x14ac:dyDescent="0.25">
      <c r="A20" s="5" t="s">
        <v>22</v>
      </c>
      <c r="B20" t="s">
        <v>39</v>
      </c>
      <c r="C20" s="9">
        <v>12.021527777777777</v>
      </c>
      <c r="D20" t="s">
        <v>56</v>
      </c>
      <c r="E20">
        <v>0</v>
      </c>
      <c r="F20" t="s">
        <v>57</v>
      </c>
      <c r="G20" t="s">
        <v>1943</v>
      </c>
      <c r="H20" s="9">
        <v>16.666666666666668</v>
      </c>
      <c r="I20" s="8">
        <v>0</v>
      </c>
      <c r="J20" s="69"/>
      <c r="K20" t="s">
        <v>1571</v>
      </c>
    </row>
    <row r="21" spans="1:11" x14ac:dyDescent="0.25">
      <c r="A21" s="5" t="s">
        <v>22</v>
      </c>
      <c r="B21" t="s">
        <v>39</v>
      </c>
      <c r="C21" s="9">
        <v>305.38541666666669</v>
      </c>
      <c r="D21" t="s">
        <v>71</v>
      </c>
      <c r="E21">
        <v>0</v>
      </c>
      <c r="F21" t="s">
        <v>72</v>
      </c>
      <c r="G21" t="s">
        <v>1943</v>
      </c>
      <c r="H21" t="s">
        <v>66</v>
      </c>
      <c r="I21" s="8">
        <v>0</v>
      </c>
      <c r="J21" s="69"/>
      <c r="K21" t="s">
        <v>1571</v>
      </c>
    </row>
    <row r="22" spans="1:11" x14ac:dyDescent="0.25">
      <c r="A22" s="5" t="s">
        <v>22</v>
      </c>
      <c r="B22" t="s">
        <v>39</v>
      </c>
      <c r="C22" s="9">
        <v>3.6881944444444446</v>
      </c>
      <c r="D22" t="s">
        <v>1575</v>
      </c>
      <c r="E22">
        <v>0</v>
      </c>
      <c r="F22" t="s">
        <v>1576</v>
      </c>
      <c r="G22" t="s">
        <v>1943</v>
      </c>
      <c r="H22" s="9">
        <v>7.083333333333333</v>
      </c>
      <c r="I22" s="8">
        <v>0</v>
      </c>
      <c r="J22" s="69"/>
      <c r="K22" t="s">
        <v>1571</v>
      </c>
    </row>
    <row r="23" spans="1:11" x14ac:dyDescent="0.25">
      <c r="A23" s="5" t="s">
        <v>22</v>
      </c>
      <c r="B23" t="s">
        <v>39</v>
      </c>
      <c r="C23" s="9">
        <v>305.38541666666669</v>
      </c>
      <c r="D23" t="s">
        <v>73</v>
      </c>
      <c r="E23">
        <v>0</v>
      </c>
      <c r="F23" t="s">
        <v>74</v>
      </c>
      <c r="G23">
        <v>1016224604718</v>
      </c>
      <c r="H23" t="s">
        <v>66</v>
      </c>
      <c r="I23" s="8">
        <v>0</v>
      </c>
      <c r="J23" s="69"/>
      <c r="K23" t="s">
        <v>1571</v>
      </c>
    </row>
    <row r="24" spans="1:11" x14ac:dyDescent="0.25">
      <c r="A24" s="5" t="s">
        <v>22</v>
      </c>
      <c r="B24" t="s">
        <v>39</v>
      </c>
      <c r="C24" s="9">
        <v>305.38541666666669</v>
      </c>
      <c r="D24" t="s">
        <v>75</v>
      </c>
      <c r="E24">
        <v>0</v>
      </c>
      <c r="F24" t="s">
        <v>76</v>
      </c>
      <c r="G24">
        <v>1016224604781</v>
      </c>
      <c r="H24" t="s">
        <v>66</v>
      </c>
      <c r="I24" s="8">
        <v>0</v>
      </c>
      <c r="J24" s="69"/>
      <c r="K24" t="s">
        <v>1571</v>
      </c>
    </row>
    <row r="25" spans="1:11" x14ac:dyDescent="0.25">
      <c r="A25" s="5" t="s">
        <v>22</v>
      </c>
      <c r="B25" t="s">
        <v>39</v>
      </c>
      <c r="C25" s="9">
        <v>305.38541666666669</v>
      </c>
      <c r="D25" t="s">
        <v>77</v>
      </c>
      <c r="E25">
        <v>0</v>
      </c>
      <c r="F25" t="s">
        <v>78</v>
      </c>
      <c r="G25">
        <v>1016224601397</v>
      </c>
      <c r="H25" t="s">
        <v>66</v>
      </c>
      <c r="I25" s="8">
        <v>0</v>
      </c>
      <c r="J25" s="69"/>
      <c r="K25" t="s">
        <v>1571</v>
      </c>
    </row>
    <row r="26" spans="1:11" x14ac:dyDescent="0.25">
      <c r="A26" s="5" t="s">
        <v>22</v>
      </c>
      <c r="B26" t="s">
        <v>39</v>
      </c>
      <c r="C26" s="9">
        <v>305.38541666666669</v>
      </c>
      <c r="D26" t="s">
        <v>79</v>
      </c>
      <c r="E26">
        <v>0</v>
      </c>
      <c r="F26" t="s">
        <v>80</v>
      </c>
      <c r="G26">
        <v>1016224605410</v>
      </c>
      <c r="H26" t="s">
        <v>66</v>
      </c>
      <c r="I26" s="8">
        <v>0</v>
      </c>
      <c r="J26" s="69"/>
      <c r="K26" t="s">
        <v>1571</v>
      </c>
    </row>
    <row r="27" spans="1:11" x14ac:dyDescent="0.25">
      <c r="A27" s="5" t="s">
        <v>22</v>
      </c>
      <c r="B27" t="s">
        <v>39</v>
      </c>
      <c r="C27" s="9">
        <v>305.38541666666669</v>
      </c>
      <c r="D27" t="s">
        <v>81</v>
      </c>
      <c r="E27">
        <v>0</v>
      </c>
      <c r="F27" t="s">
        <v>82</v>
      </c>
      <c r="G27" t="s">
        <v>1944</v>
      </c>
      <c r="H27" t="s">
        <v>66</v>
      </c>
      <c r="I27" s="8">
        <v>0</v>
      </c>
      <c r="J27" s="69"/>
      <c r="K27" t="s">
        <v>1571</v>
      </c>
    </row>
    <row r="28" spans="1:11" x14ac:dyDescent="0.25">
      <c r="A28" s="5" t="s">
        <v>22</v>
      </c>
      <c r="B28" t="s">
        <v>39</v>
      </c>
      <c r="C28" s="9">
        <v>305.38541666666669</v>
      </c>
      <c r="D28" t="s">
        <v>83</v>
      </c>
      <c r="E28">
        <v>0</v>
      </c>
      <c r="F28" t="s">
        <v>84</v>
      </c>
      <c r="G28">
        <v>31365102334</v>
      </c>
      <c r="H28" t="s">
        <v>66</v>
      </c>
      <c r="I28" s="8">
        <v>0</v>
      </c>
      <c r="J28" s="69"/>
      <c r="K28" t="s">
        <v>1571</v>
      </c>
    </row>
    <row r="29" spans="1:11" x14ac:dyDescent="0.25">
      <c r="A29" s="5" t="s">
        <v>22</v>
      </c>
      <c r="B29" t="s">
        <v>39</v>
      </c>
      <c r="C29" s="9">
        <v>305.38541666666669</v>
      </c>
      <c r="D29" t="s">
        <v>85</v>
      </c>
      <c r="E29">
        <v>0</v>
      </c>
      <c r="F29" t="s">
        <v>86</v>
      </c>
      <c r="G29">
        <v>916224603882</v>
      </c>
      <c r="H29" t="s">
        <v>66</v>
      </c>
      <c r="I29" s="8">
        <v>0</v>
      </c>
      <c r="J29" s="69"/>
      <c r="K29" t="s">
        <v>1571</v>
      </c>
    </row>
    <row r="30" spans="1:11" x14ac:dyDescent="0.25">
      <c r="A30" s="5" t="s">
        <v>22</v>
      </c>
      <c r="B30" t="s">
        <v>39</v>
      </c>
      <c r="C30" s="9">
        <v>305.38541666666669</v>
      </c>
      <c r="D30" t="s">
        <v>87</v>
      </c>
      <c r="E30">
        <v>0</v>
      </c>
      <c r="F30" t="s">
        <v>88</v>
      </c>
      <c r="G30" t="s">
        <v>1945</v>
      </c>
      <c r="H30" t="s">
        <v>66</v>
      </c>
      <c r="I30" s="8">
        <v>0</v>
      </c>
      <c r="J30" s="69"/>
      <c r="K30" t="s">
        <v>1571</v>
      </c>
    </row>
    <row r="31" spans="1:11" x14ac:dyDescent="0.25">
      <c r="A31" s="5" t="s">
        <v>22</v>
      </c>
      <c r="B31" t="s">
        <v>39</v>
      </c>
      <c r="C31" s="9">
        <v>305.38541666666669</v>
      </c>
      <c r="D31" t="s">
        <v>89</v>
      </c>
      <c r="E31">
        <v>0</v>
      </c>
      <c r="F31" t="s">
        <v>90</v>
      </c>
      <c r="G31">
        <v>1016240000085</v>
      </c>
      <c r="H31" t="s">
        <v>66</v>
      </c>
      <c r="I31" s="8">
        <v>0</v>
      </c>
      <c r="J31" s="69"/>
      <c r="K31" t="s">
        <v>1571</v>
      </c>
    </row>
    <row r="32" spans="1:11" x14ac:dyDescent="0.25">
      <c r="A32" s="5" t="s">
        <v>22</v>
      </c>
      <c r="B32" t="s">
        <v>39</v>
      </c>
      <c r="C32" s="9">
        <v>305.38541666666669</v>
      </c>
      <c r="D32" t="s">
        <v>91</v>
      </c>
      <c r="E32">
        <v>0</v>
      </c>
      <c r="F32" t="s">
        <v>92</v>
      </c>
      <c r="G32">
        <v>90137418742</v>
      </c>
      <c r="H32" t="s">
        <v>66</v>
      </c>
      <c r="I32" s="8">
        <v>0</v>
      </c>
      <c r="J32" s="69"/>
      <c r="K32" t="s">
        <v>1571</v>
      </c>
    </row>
    <row r="33" spans="1:11" x14ac:dyDescent="0.25">
      <c r="A33" s="5" t="s">
        <v>22</v>
      </c>
      <c r="B33" t="s">
        <v>39</v>
      </c>
      <c r="C33" t="s">
        <v>1946</v>
      </c>
      <c r="D33" t="s">
        <v>97</v>
      </c>
      <c r="E33">
        <v>0</v>
      </c>
      <c r="F33" t="s">
        <v>98</v>
      </c>
      <c r="G33" t="s">
        <v>1947</v>
      </c>
      <c r="H33" t="s">
        <v>38</v>
      </c>
      <c r="I33" s="8">
        <v>0</v>
      </c>
      <c r="J33" s="69"/>
      <c r="K33" t="s">
        <v>1571</v>
      </c>
    </row>
    <row r="34" spans="1:11" x14ac:dyDescent="0.25">
      <c r="A34" s="5" t="s">
        <v>22</v>
      </c>
      <c r="B34" t="s">
        <v>39</v>
      </c>
      <c r="C34" t="s">
        <v>1946</v>
      </c>
      <c r="D34" t="s">
        <v>99</v>
      </c>
      <c r="E34">
        <v>0</v>
      </c>
      <c r="F34" t="s">
        <v>100</v>
      </c>
      <c r="G34" t="s">
        <v>1948</v>
      </c>
      <c r="H34" t="s">
        <v>38</v>
      </c>
      <c r="I34" s="8">
        <v>0</v>
      </c>
      <c r="J34" s="69"/>
      <c r="K34" t="s">
        <v>1571</v>
      </c>
    </row>
    <row r="35" spans="1:11" x14ac:dyDescent="0.25">
      <c r="A35" s="5" t="s">
        <v>22</v>
      </c>
      <c r="B35" t="s">
        <v>39</v>
      </c>
      <c r="C35" t="s">
        <v>1946</v>
      </c>
      <c r="D35" t="s">
        <v>101</v>
      </c>
      <c r="E35">
        <v>0</v>
      </c>
      <c r="F35" t="s">
        <v>102</v>
      </c>
      <c r="G35">
        <v>1165</v>
      </c>
      <c r="H35" t="s">
        <v>38</v>
      </c>
      <c r="I35" s="8">
        <v>0</v>
      </c>
      <c r="J35" s="69"/>
      <c r="K35" t="s">
        <v>1571</v>
      </c>
    </row>
    <row r="36" spans="1:11" x14ac:dyDescent="0.25">
      <c r="A36" s="5" t="s">
        <v>22</v>
      </c>
      <c r="B36" t="s">
        <v>39</v>
      </c>
      <c r="C36" t="s">
        <v>1946</v>
      </c>
      <c r="D36" t="s">
        <v>103</v>
      </c>
      <c r="E36">
        <v>0</v>
      </c>
      <c r="F36" t="s">
        <v>104</v>
      </c>
      <c r="G36" t="s">
        <v>1949</v>
      </c>
      <c r="H36" t="s">
        <v>38</v>
      </c>
      <c r="I36" s="8">
        <v>0</v>
      </c>
      <c r="J36" s="69"/>
      <c r="K36" t="s">
        <v>1571</v>
      </c>
    </row>
    <row r="37" spans="1:11" x14ac:dyDescent="0.25">
      <c r="A37" s="5" t="s">
        <v>22</v>
      </c>
      <c r="B37" t="s">
        <v>39</v>
      </c>
      <c r="C37" t="s">
        <v>1946</v>
      </c>
      <c r="D37" t="s">
        <v>105</v>
      </c>
      <c r="E37">
        <v>0</v>
      </c>
      <c r="F37" t="s">
        <v>106</v>
      </c>
      <c r="G37" t="s">
        <v>1950</v>
      </c>
      <c r="H37" t="s">
        <v>38</v>
      </c>
      <c r="I37" s="8">
        <v>0</v>
      </c>
      <c r="J37" s="69"/>
      <c r="K37" t="s">
        <v>1571</v>
      </c>
    </row>
    <row r="38" spans="1:11" x14ac:dyDescent="0.25">
      <c r="A38" s="5" t="s">
        <v>22</v>
      </c>
      <c r="B38" t="s">
        <v>39</v>
      </c>
      <c r="C38" s="9">
        <v>335.64930555555554</v>
      </c>
      <c r="D38" t="s">
        <v>93</v>
      </c>
      <c r="E38">
        <v>0</v>
      </c>
      <c r="F38" t="s">
        <v>94</v>
      </c>
      <c r="G38">
        <v>56240136</v>
      </c>
      <c r="H38" t="s">
        <v>66</v>
      </c>
      <c r="I38" s="8">
        <v>0</v>
      </c>
      <c r="J38" s="69"/>
      <c r="K38" t="s">
        <v>1571</v>
      </c>
    </row>
    <row r="39" spans="1:11" x14ac:dyDescent="0.25">
      <c r="A39" s="5" t="s">
        <v>22</v>
      </c>
      <c r="B39" t="s">
        <v>39</v>
      </c>
      <c r="C39" s="9">
        <v>29.548611111111111</v>
      </c>
      <c r="D39" t="s">
        <v>60</v>
      </c>
      <c r="E39">
        <v>0</v>
      </c>
      <c r="F39" t="s">
        <v>61</v>
      </c>
      <c r="G39">
        <v>56240136</v>
      </c>
      <c r="H39" s="9">
        <v>33.333333333333336</v>
      </c>
      <c r="I39" s="8">
        <v>0</v>
      </c>
      <c r="J39" s="69"/>
      <c r="K39" t="s">
        <v>1571</v>
      </c>
    </row>
    <row r="40" spans="1:11" x14ac:dyDescent="0.25">
      <c r="A40" s="5" t="s">
        <v>22</v>
      </c>
      <c r="B40" t="s">
        <v>39</v>
      </c>
      <c r="C40" s="9">
        <v>4.0673611111111114</v>
      </c>
      <c r="D40" t="s">
        <v>48</v>
      </c>
      <c r="E40">
        <v>0</v>
      </c>
      <c r="F40" t="s">
        <v>49</v>
      </c>
      <c r="G40">
        <v>56240136</v>
      </c>
      <c r="H40" s="9">
        <v>16.666666666666668</v>
      </c>
      <c r="I40" s="8">
        <v>0</v>
      </c>
      <c r="J40" s="69"/>
      <c r="K40" t="s">
        <v>1571</v>
      </c>
    </row>
    <row r="41" spans="1:11" x14ac:dyDescent="0.25">
      <c r="A41" s="5" t="s">
        <v>22</v>
      </c>
      <c r="B41" t="s">
        <v>113</v>
      </c>
      <c r="C41" s="9" t="s">
        <v>1951</v>
      </c>
      <c r="D41" t="s">
        <v>116</v>
      </c>
      <c r="E41">
        <v>0</v>
      </c>
      <c r="F41" t="s">
        <v>117</v>
      </c>
      <c r="G41" t="s">
        <v>1571</v>
      </c>
      <c r="H41" s="9" t="s">
        <v>38</v>
      </c>
      <c r="I41" s="8">
        <v>0</v>
      </c>
      <c r="J41" s="69"/>
      <c r="K41" t="s">
        <v>1571</v>
      </c>
    </row>
    <row r="42" spans="1:11" x14ac:dyDescent="0.25">
      <c r="A42" s="5" t="s">
        <v>22</v>
      </c>
      <c r="B42" t="s">
        <v>113</v>
      </c>
      <c r="C42" s="9">
        <v>20.975694444444443</v>
      </c>
      <c r="D42" t="s">
        <v>62</v>
      </c>
      <c r="E42">
        <v>0</v>
      </c>
      <c r="F42" t="s">
        <v>63</v>
      </c>
      <c r="G42" t="s">
        <v>1952</v>
      </c>
      <c r="H42" s="9">
        <v>62.5</v>
      </c>
      <c r="I42" s="8">
        <v>0</v>
      </c>
      <c r="J42" s="69"/>
      <c r="K42" t="s">
        <v>1571</v>
      </c>
    </row>
    <row r="43" spans="1:11" x14ac:dyDescent="0.25">
      <c r="A43" s="5" t="s">
        <v>22</v>
      </c>
      <c r="B43" t="s">
        <v>113</v>
      </c>
      <c r="C43" s="9">
        <v>9.6715277777777775</v>
      </c>
      <c r="D43" t="s">
        <v>52</v>
      </c>
      <c r="E43">
        <v>0</v>
      </c>
      <c r="F43" t="s">
        <v>53</v>
      </c>
      <c r="G43" t="s">
        <v>1952</v>
      </c>
      <c r="H43" s="9">
        <v>16.666666666666668</v>
      </c>
      <c r="I43" s="8">
        <v>0</v>
      </c>
      <c r="J43" s="69"/>
      <c r="K43" t="s">
        <v>1571</v>
      </c>
    </row>
    <row r="44" spans="1:11" x14ac:dyDescent="0.25">
      <c r="A44" s="5" t="s">
        <v>22</v>
      </c>
      <c r="B44" t="s">
        <v>113</v>
      </c>
      <c r="C44" s="9">
        <v>17.456944444444446</v>
      </c>
      <c r="D44" t="s">
        <v>40</v>
      </c>
      <c r="E44">
        <v>0</v>
      </c>
      <c r="F44" t="s">
        <v>41</v>
      </c>
      <c r="G44" t="s">
        <v>1952</v>
      </c>
      <c r="H44" s="9">
        <v>41.666666666666664</v>
      </c>
      <c r="I44" s="8">
        <v>0</v>
      </c>
      <c r="J44" s="69"/>
      <c r="K44" t="s">
        <v>1571</v>
      </c>
    </row>
    <row r="45" spans="1:11" x14ac:dyDescent="0.25">
      <c r="A45" s="5" t="s">
        <v>22</v>
      </c>
      <c r="B45" t="s">
        <v>113</v>
      </c>
      <c r="C45" s="9">
        <v>17.456944444444446</v>
      </c>
      <c r="D45" t="s">
        <v>42</v>
      </c>
      <c r="E45">
        <v>0</v>
      </c>
      <c r="F45" t="s">
        <v>43</v>
      </c>
      <c r="G45" t="s">
        <v>1952</v>
      </c>
      <c r="H45" s="9">
        <v>41.666666666666664</v>
      </c>
      <c r="I45" s="8">
        <v>0</v>
      </c>
      <c r="J45" s="69"/>
      <c r="K45" t="s">
        <v>1571</v>
      </c>
    </row>
    <row r="46" spans="1:11" x14ac:dyDescent="0.25">
      <c r="A46" s="5" t="s">
        <v>22</v>
      </c>
      <c r="B46" t="s">
        <v>113</v>
      </c>
      <c r="C46" s="9">
        <v>13.864583333333334</v>
      </c>
      <c r="D46" t="s">
        <v>44</v>
      </c>
      <c r="E46">
        <v>0</v>
      </c>
      <c r="F46" t="s">
        <v>45</v>
      </c>
      <c r="G46" t="s">
        <v>1952</v>
      </c>
      <c r="H46" s="9">
        <v>16.666666666666668</v>
      </c>
      <c r="I46" s="8">
        <v>0</v>
      </c>
      <c r="J46" s="69"/>
      <c r="K46" t="s">
        <v>1571</v>
      </c>
    </row>
    <row r="47" spans="1:11" x14ac:dyDescent="0.25">
      <c r="A47" s="5" t="s">
        <v>22</v>
      </c>
      <c r="B47" t="s">
        <v>113</v>
      </c>
      <c r="C47" s="9">
        <v>13.864583333333334</v>
      </c>
      <c r="D47" t="s">
        <v>46</v>
      </c>
      <c r="E47">
        <v>0</v>
      </c>
      <c r="F47" t="s">
        <v>47</v>
      </c>
      <c r="G47" t="s">
        <v>1952</v>
      </c>
      <c r="H47" s="9">
        <v>16.666666666666668</v>
      </c>
      <c r="I47" s="8">
        <v>0</v>
      </c>
      <c r="J47" s="69"/>
      <c r="K47" t="s">
        <v>1571</v>
      </c>
    </row>
    <row r="48" spans="1:11" x14ac:dyDescent="0.25">
      <c r="A48" s="5" t="s">
        <v>22</v>
      </c>
      <c r="B48" t="s">
        <v>113</v>
      </c>
      <c r="C48" s="9">
        <v>13.864583333333334</v>
      </c>
      <c r="D48" t="s">
        <v>54</v>
      </c>
      <c r="E48">
        <v>0</v>
      </c>
      <c r="F48" t="s">
        <v>55</v>
      </c>
      <c r="G48" t="s">
        <v>1952</v>
      </c>
      <c r="H48" s="9">
        <v>16.666666666666668</v>
      </c>
      <c r="I48" s="8">
        <v>0</v>
      </c>
      <c r="J48" s="69"/>
      <c r="K48" t="s">
        <v>1571</v>
      </c>
    </row>
    <row r="49" spans="1:11" x14ac:dyDescent="0.25">
      <c r="A49" s="5" t="s">
        <v>22</v>
      </c>
      <c r="B49" t="s">
        <v>113</v>
      </c>
      <c r="C49" s="9">
        <v>13.864583333333334</v>
      </c>
      <c r="D49" t="s">
        <v>56</v>
      </c>
      <c r="E49">
        <v>0</v>
      </c>
      <c r="F49" t="s">
        <v>57</v>
      </c>
      <c r="G49" t="s">
        <v>1952</v>
      </c>
      <c r="H49" s="9">
        <v>16.666666666666668</v>
      </c>
      <c r="I49" s="8">
        <v>0</v>
      </c>
      <c r="J49" s="69"/>
      <c r="K49" t="s">
        <v>1571</v>
      </c>
    </row>
    <row r="50" spans="1:11" x14ac:dyDescent="0.25">
      <c r="A50" s="5" t="s">
        <v>22</v>
      </c>
      <c r="B50" t="s">
        <v>113</v>
      </c>
      <c r="C50" s="9">
        <v>308.44444444444446</v>
      </c>
      <c r="D50" t="s">
        <v>71</v>
      </c>
      <c r="E50">
        <v>0</v>
      </c>
      <c r="F50" t="s">
        <v>72</v>
      </c>
      <c r="G50" t="s">
        <v>1952</v>
      </c>
      <c r="H50" s="9" t="s">
        <v>66</v>
      </c>
      <c r="I50" s="8">
        <v>0</v>
      </c>
      <c r="J50" s="69"/>
      <c r="K50" t="s">
        <v>1571</v>
      </c>
    </row>
    <row r="51" spans="1:11" x14ac:dyDescent="0.25">
      <c r="A51" s="5" t="s">
        <v>22</v>
      </c>
      <c r="B51" t="s">
        <v>113</v>
      </c>
      <c r="C51" s="9">
        <v>9.6715277777777775</v>
      </c>
      <c r="D51" t="s">
        <v>1575</v>
      </c>
      <c r="E51">
        <v>0</v>
      </c>
      <c r="F51" t="s">
        <v>1576</v>
      </c>
      <c r="G51" t="s">
        <v>1952</v>
      </c>
      <c r="H51" s="9">
        <v>12.5</v>
      </c>
      <c r="I51" s="8">
        <v>0</v>
      </c>
      <c r="J51" s="69"/>
      <c r="K51" t="s">
        <v>1571</v>
      </c>
    </row>
    <row r="52" spans="1:11" x14ac:dyDescent="0.25">
      <c r="A52" s="5" t="s">
        <v>22</v>
      </c>
      <c r="B52" t="s">
        <v>113</v>
      </c>
      <c r="C52" s="9">
        <v>308.44444444444446</v>
      </c>
      <c r="D52" t="s">
        <v>73</v>
      </c>
      <c r="E52">
        <v>0</v>
      </c>
      <c r="F52" t="s">
        <v>74</v>
      </c>
      <c r="G52">
        <v>1316224602741</v>
      </c>
      <c r="H52" s="9" t="s">
        <v>66</v>
      </c>
      <c r="I52" s="8">
        <v>0</v>
      </c>
      <c r="J52" s="69"/>
      <c r="K52" t="s">
        <v>1571</v>
      </c>
    </row>
    <row r="53" spans="1:11" x14ac:dyDescent="0.25">
      <c r="A53" s="5" t="s">
        <v>22</v>
      </c>
      <c r="B53" t="s">
        <v>113</v>
      </c>
      <c r="C53" s="9">
        <v>308.44444444444446</v>
      </c>
      <c r="D53" t="s">
        <v>83</v>
      </c>
      <c r="E53">
        <v>0</v>
      </c>
      <c r="F53" t="s">
        <v>84</v>
      </c>
      <c r="G53">
        <v>1316224600504</v>
      </c>
      <c r="H53" s="9" t="s">
        <v>66</v>
      </c>
      <c r="I53" s="8">
        <v>0</v>
      </c>
      <c r="J53" s="69"/>
      <c r="K53" t="s">
        <v>1571</v>
      </c>
    </row>
    <row r="54" spans="1:11" x14ac:dyDescent="0.25">
      <c r="A54" s="5" t="s">
        <v>22</v>
      </c>
      <c r="B54" t="s">
        <v>113</v>
      </c>
      <c r="C54" s="9">
        <v>308.44444444444446</v>
      </c>
      <c r="D54" t="s">
        <v>75</v>
      </c>
      <c r="E54">
        <v>0</v>
      </c>
      <c r="F54" t="s">
        <v>76</v>
      </c>
      <c r="G54">
        <v>1316224601585</v>
      </c>
      <c r="H54" t="s">
        <v>66</v>
      </c>
      <c r="I54" s="8">
        <v>0</v>
      </c>
      <c r="J54" s="69"/>
      <c r="K54" t="s">
        <v>1571</v>
      </c>
    </row>
    <row r="55" spans="1:11" x14ac:dyDescent="0.25">
      <c r="A55" s="5" t="s">
        <v>22</v>
      </c>
      <c r="B55" t="s">
        <v>113</v>
      </c>
      <c r="C55" s="9">
        <v>308.44444444444446</v>
      </c>
      <c r="D55" t="s">
        <v>77</v>
      </c>
      <c r="E55">
        <v>0</v>
      </c>
      <c r="F55" t="s">
        <v>78</v>
      </c>
      <c r="G55" t="s">
        <v>1953</v>
      </c>
      <c r="H55" t="s">
        <v>66</v>
      </c>
      <c r="I55" s="8">
        <v>0</v>
      </c>
      <c r="J55" s="69"/>
      <c r="K55" t="s">
        <v>1571</v>
      </c>
    </row>
    <row r="56" spans="1:11" x14ac:dyDescent="0.25">
      <c r="A56" s="5" t="s">
        <v>22</v>
      </c>
      <c r="B56" t="s">
        <v>113</v>
      </c>
      <c r="C56" s="9">
        <v>308.44444444444446</v>
      </c>
      <c r="D56" t="s">
        <v>79</v>
      </c>
      <c r="E56">
        <v>0</v>
      </c>
      <c r="F56" t="s">
        <v>80</v>
      </c>
      <c r="G56">
        <v>1316224602455</v>
      </c>
      <c r="H56" t="s">
        <v>66</v>
      </c>
      <c r="I56" s="8">
        <v>0</v>
      </c>
      <c r="J56" s="69"/>
      <c r="K56" t="s">
        <v>1571</v>
      </c>
    </row>
    <row r="57" spans="1:11" x14ac:dyDescent="0.25">
      <c r="A57" s="5" t="s">
        <v>22</v>
      </c>
      <c r="B57" t="s">
        <v>113</v>
      </c>
      <c r="C57" s="9">
        <v>308.44444444444446</v>
      </c>
      <c r="D57" t="s">
        <v>81</v>
      </c>
      <c r="E57">
        <v>0</v>
      </c>
      <c r="F57" t="s">
        <v>82</v>
      </c>
      <c r="G57" t="s">
        <v>1954</v>
      </c>
      <c r="H57" t="s">
        <v>66</v>
      </c>
      <c r="I57" s="8">
        <v>0</v>
      </c>
      <c r="J57" s="69"/>
      <c r="K57" t="s">
        <v>1571</v>
      </c>
    </row>
    <row r="58" spans="1:11" x14ac:dyDescent="0.25">
      <c r="A58" s="5" t="s">
        <v>22</v>
      </c>
      <c r="B58" t="s">
        <v>113</v>
      </c>
      <c r="C58" s="9">
        <v>308.44444444444446</v>
      </c>
      <c r="D58" t="s">
        <v>85</v>
      </c>
      <c r="E58">
        <v>0</v>
      </c>
      <c r="F58" t="s">
        <v>86</v>
      </c>
      <c r="G58" t="s">
        <v>1955</v>
      </c>
      <c r="H58" t="s">
        <v>66</v>
      </c>
      <c r="I58" s="8">
        <v>0</v>
      </c>
      <c r="J58" s="69"/>
      <c r="K58" t="s">
        <v>1571</v>
      </c>
    </row>
    <row r="59" spans="1:11" x14ac:dyDescent="0.25">
      <c r="A59" s="5" t="s">
        <v>22</v>
      </c>
      <c r="B59" t="s">
        <v>113</v>
      </c>
      <c r="C59" s="9">
        <v>308.44444444444446</v>
      </c>
      <c r="D59" t="s">
        <v>87</v>
      </c>
      <c r="E59">
        <v>0</v>
      </c>
      <c r="F59" t="s">
        <v>88</v>
      </c>
      <c r="G59" t="s">
        <v>1956</v>
      </c>
      <c r="H59" t="s">
        <v>66</v>
      </c>
      <c r="I59" s="8">
        <v>0</v>
      </c>
      <c r="J59" s="69"/>
      <c r="K59" t="s">
        <v>1571</v>
      </c>
    </row>
    <row r="60" spans="1:11" x14ac:dyDescent="0.25">
      <c r="A60" s="5" t="s">
        <v>22</v>
      </c>
      <c r="B60" t="s">
        <v>113</v>
      </c>
      <c r="C60" s="9">
        <v>308.44444444444446</v>
      </c>
      <c r="D60" t="s">
        <v>64</v>
      </c>
      <c r="E60">
        <v>0</v>
      </c>
      <c r="F60" t="s">
        <v>65</v>
      </c>
      <c r="G60" t="s">
        <v>1957</v>
      </c>
      <c r="H60" t="s">
        <v>66</v>
      </c>
      <c r="I60" s="8">
        <v>0</v>
      </c>
      <c r="J60" s="69"/>
      <c r="K60" t="s">
        <v>1571</v>
      </c>
    </row>
    <row r="61" spans="1:11" x14ac:dyDescent="0.25">
      <c r="A61" s="5" t="s">
        <v>22</v>
      </c>
      <c r="B61" t="s">
        <v>113</v>
      </c>
      <c r="C61" s="9">
        <v>6.1506944444444445</v>
      </c>
      <c r="D61" t="s">
        <v>114</v>
      </c>
      <c r="E61">
        <v>0</v>
      </c>
      <c r="F61" t="s">
        <v>115</v>
      </c>
      <c r="G61" t="s">
        <v>1957</v>
      </c>
      <c r="H61" s="9">
        <v>41.666666666666664</v>
      </c>
      <c r="I61" s="8">
        <v>0</v>
      </c>
      <c r="J61" s="69"/>
      <c r="K61" t="s">
        <v>1571</v>
      </c>
    </row>
    <row r="62" spans="1:11" x14ac:dyDescent="0.25">
      <c r="A62" s="5" t="s">
        <v>22</v>
      </c>
      <c r="B62" t="s">
        <v>113</v>
      </c>
      <c r="C62" s="9">
        <v>308.44444444444446</v>
      </c>
      <c r="D62" t="s">
        <v>67</v>
      </c>
      <c r="E62">
        <v>0</v>
      </c>
      <c r="F62" t="s">
        <v>68</v>
      </c>
      <c r="G62" t="s">
        <v>1958</v>
      </c>
      <c r="H62" t="s">
        <v>66</v>
      </c>
      <c r="I62" s="8">
        <v>0</v>
      </c>
      <c r="J62" s="69"/>
      <c r="K62" t="s">
        <v>1571</v>
      </c>
    </row>
    <row r="63" spans="1:11" x14ac:dyDescent="0.25">
      <c r="A63" s="5" t="s">
        <v>22</v>
      </c>
      <c r="B63" t="s">
        <v>113</v>
      </c>
      <c r="C63" s="9">
        <v>308.44444444444446</v>
      </c>
      <c r="D63" t="s">
        <v>69</v>
      </c>
      <c r="E63">
        <v>0</v>
      </c>
      <c r="F63" t="s">
        <v>70</v>
      </c>
      <c r="G63" t="s">
        <v>1959</v>
      </c>
      <c r="H63" t="s">
        <v>66</v>
      </c>
      <c r="I63" s="8">
        <v>0</v>
      </c>
      <c r="J63" s="69"/>
      <c r="K63" t="s">
        <v>1571</v>
      </c>
    </row>
    <row r="64" spans="1:11" x14ac:dyDescent="0.25">
      <c r="A64" s="5" t="s">
        <v>22</v>
      </c>
      <c r="B64" t="s">
        <v>113</v>
      </c>
      <c r="C64" s="9">
        <v>308.44444444444446</v>
      </c>
      <c r="D64" t="s">
        <v>89</v>
      </c>
      <c r="E64">
        <v>0</v>
      </c>
      <c r="F64" t="s">
        <v>90</v>
      </c>
      <c r="G64">
        <v>1316240000037</v>
      </c>
      <c r="H64" t="s">
        <v>66</v>
      </c>
      <c r="I64" s="8">
        <v>0</v>
      </c>
      <c r="J64" s="69"/>
      <c r="K64" t="s">
        <v>1571</v>
      </c>
    </row>
    <row r="65" spans="1:11" x14ac:dyDescent="0.25">
      <c r="A65" s="5" t="s">
        <v>22</v>
      </c>
      <c r="B65" t="s">
        <v>113</v>
      </c>
      <c r="C65" s="9">
        <v>308.44444444444446</v>
      </c>
      <c r="D65" t="s">
        <v>91</v>
      </c>
      <c r="E65">
        <v>0</v>
      </c>
      <c r="F65" t="s">
        <v>92</v>
      </c>
      <c r="G65">
        <v>1316201623251</v>
      </c>
      <c r="H65" t="s">
        <v>66</v>
      </c>
      <c r="I65" s="8">
        <v>0</v>
      </c>
      <c r="J65" s="69"/>
      <c r="K65" t="s">
        <v>1571</v>
      </c>
    </row>
    <row r="66" spans="1:11" x14ac:dyDescent="0.25">
      <c r="A66" s="5" t="s">
        <v>22</v>
      </c>
      <c r="B66" t="s">
        <v>113</v>
      </c>
      <c r="C66" s="9" t="s">
        <v>1951</v>
      </c>
      <c r="D66" t="s">
        <v>97</v>
      </c>
      <c r="E66">
        <v>0</v>
      </c>
      <c r="F66" t="s">
        <v>98</v>
      </c>
      <c r="G66" t="s">
        <v>1960</v>
      </c>
      <c r="H66" t="s">
        <v>38</v>
      </c>
      <c r="I66" s="8">
        <v>0</v>
      </c>
      <c r="J66" s="69"/>
      <c r="K66" t="s">
        <v>1571</v>
      </c>
    </row>
    <row r="67" spans="1:11" x14ac:dyDescent="0.25">
      <c r="A67" s="5" t="s">
        <v>22</v>
      </c>
      <c r="B67" t="s">
        <v>113</v>
      </c>
      <c r="C67" s="9" t="s">
        <v>1951</v>
      </c>
      <c r="D67" t="s">
        <v>99</v>
      </c>
      <c r="E67">
        <v>0</v>
      </c>
      <c r="F67" t="s">
        <v>100</v>
      </c>
      <c r="G67" t="s">
        <v>1961</v>
      </c>
      <c r="H67" t="s">
        <v>38</v>
      </c>
      <c r="I67" s="8">
        <v>0</v>
      </c>
      <c r="J67" s="69"/>
      <c r="K67" t="s">
        <v>1571</v>
      </c>
    </row>
    <row r="68" spans="1:11" x14ac:dyDescent="0.25">
      <c r="A68" s="5" t="s">
        <v>22</v>
      </c>
      <c r="B68" t="s">
        <v>113</v>
      </c>
      <c r="C68" s="9">
        <v>308.44444444444446</v>
      </c>
      <c r="D68" t="s">
        <v>93</v>
      </c>
      <c r="E68">
        <v>0</v>
      </c>
      <c r="F68" t="s">
        <v>94</v>
      </c>
      <c r="G68">
        <v>56240273</v>
      </c>
      <c r="H68" t="s">
        <v>66</v>
      </c>
      <c r="I68" s="8">
        <v>0</v>
      </c>
      <c r="J68" s="69"/>
      <c r="K68" t="s">
        <v>1571</v>
      </c>
    </row>
    <row r="69" spans="1:11" x14ac:dyDescent="0.25">
      <c r="A69" s="5" t="s">
        <v>22</v>
      </c>
      <c r="B69" t="s">
        <v>113</v>
      </c>
      <c r="C69" s="9">
        <v>4.4083333333333332</v>
      </c>
      <c r="D69" t="s">
        <v>60</v>
      </c>
      <c r="E69">
        <v>0</v>
      </c>
      <c r="F69" t="s">
        <v>61</v>
      </c>
      <c r="G69">
        <v>56240273</v>
      </c>
      <c r="H69" s="9">
        <v>33.333333333333336</v>
      </c>
      <c r="I69" s="8">
        <v>0</v>
      </c>
      <c r="J69" s="69"/>
      <c r="K69" t="s">
        <v>1571</v>
      </c>
    </row>
    <row r="70" spans="1:11" x14ac:dyDescent="0.25">
      <c r="A70" s="5" t="s">
        <v>22</v>
      </c>
      <c r="B70" t="s">
        <v>113</v>
      </c>
      <c r="C70" s="9">
        <v>5.7652777777777775</v>
      </c>
      <c r="D70" t="s">
        <v>48</v>
      </c>
      <c r="E70">
        <v>0</v>
      </c>
      <c r="F70" t="s">
        <v>49</v>
      </c>
      <c r="G70">
        <v>56240273</v>
      </c>
      <c r="H70" s="9">
        <v>16.666666666666668</v>
      </c>
      <c r="I70" s="8">
        <v>0</v>
      </c>
      <c r="J70" s="69"/>
      <c r="K70" t="s">
        <v>1571</v>
      </c>
    </row>
    <row r="71" spans="1:11" x14ac:dyDescent="0.25">
      <c r="A71" s="5" t="s">
        <v>22</v>
      </c>
      <c r="B71" t="s">
        <v>113</v>
      </c>
      <c r="C71" t="s">
        <v>1951</v>
      </c>
      <c r="D71" t="s">
        <v>101</v>
      </c>
      <c r="E71">
        <v>0</v>
      </c>
      <c r="F71" t="s">
        <v>102</v>
      </c>
      <c r="G71">
        <v>1239</v>
      </c>
      <c r="H71" t="s">
        <v>38</v>
      </c>
      <c r="I71" s="8">
        <v>0</v>
      </c>
      <c r="J71" s="69"/>
      <c r="K71" t="s">
        <v>1571</v>
      </c>
    </row>
    <row r="72" spans="1:11" x14ac:dyDescent="0.25">
      <c r="A72" s="5" t="s">
        <v>22</v>
      </c>
      <c r="B72" t="s">
        <v>113</v>
      </c>
      <c r="C72" t="s">
        <v>1951</v>
      </c>
      <c r="D72" t="s">
        <v>103</v>
      </c>
      <c r="E72">
        <v>0</v>
      </c>
      <c r="F72" t="s">
        <v>104</v>
      </c>
      <c r="G72" t="s">
        <v>1962</v>
      </c>
      <c r="H72" t="s">
        <v>38</v>
      </c>
      <c r="I72" s="8">
        <v>0</v>
      </c>
      <c r="J72" s="69"/>
      <c r="K72" t="s">
        <v>1571</v>
      </c>
    </row>
    <row r="73" spans="1:11" x14ac:dyDescent="0.25">
      <c r="A73" s="5" t="s">
        <v>22</v>
      </c>
      <c r="B73" t="s">
        <v>113</v>
      </c>
      <c r="C73" t="s">
        <v>1951</v>
      </c>
      <c r="D73" t="s">
        <v>105</v>
      </c>
      <c r="E73">
        <v>0</v>
      </c>
      <c r="F73" t="s">
        <v>106</v>
      </c>
      <c r="G73" t="s">
        <v>1963</v>
      </c>
      <c r="H73" t="s">
        <v>38</v>
      </c>
      <c r="I73" s="8">
        <v>0</v>
      </c>
      <c r="J73" s="69"/>
      <c r="K73" t="s">
        <v>1571</v>
      </c>
    </row>
    <row r="74" spans="1:11" x14ac:dyDescent="0.25">
      <c r="A74" s="5" t="s">
        <v>22</v>
      </c>
      <c r="B74" t="s">
        <v>113</v>
      </c>
      <c r="C74" t="s">
        <v>1964</v>
      </c>
      <c r="D74" t="s">
        <v>107</v>
      </c>
      <c r="E74">
        <v>0</v>
      </c>
      <c r="F74" t="s">
        <v>108</v>
      </c>
      <c r="G74" t="s">
        <v>1965</v>
      </c>
      <c r="H74" t="s">
        <v>38</v>
      </c>
      <c r="I74" s="8">
        <v>0</v>
      </c>
      <c r="J74" s="69"/>
      <c r="K74" t="s">
        <v>1571</v>
      </c>
    </row>
    <row r="75" spans="1:11" x14ac:dyDescent="0.25">
      <c r="A75" s="5" t="s">
        <v>22</v>
      </c>
      <c r="B75" t="s">
        <v>113</v>
      </c>
      <c r="C75" t="s">
        <v>1966</v>
      </c>
      <c r="D75" t="s">
        <v>109</v>
      </c>
      <c r="E75">
        <v>0</v>
      </c>
      <c r="F75" t="s">
        <v>110</v>
      </c>
      <c r="G75" t="s">
        <v>1967</v>
      </c>
      <c r="H75" t="s">
        <v>38</v>
      </c>
      <c r="I75" s="8">
        <v>0</v>
      </c>
      <c r="J75" s="69"/>
      <c r="K75" t="s">
        <v>1571</v>
      </c>
    </row>
    <row r="76" spans="1:11" x14ac:dyDescent="0.25">
      <c r="A76" s="5" t="s">
        <v>22</v>
      </c>
      <c r="B76" t="s">
        <v>113</v>
      </c>
      <c r="C76" s="9">
        <v>7.7097222222222221</v>
      </c>
      <c r="D76" t="s">
        <v>50</v>
      </c>
      <c r="E76">
        <v>0</v>
      </c>
      <c r="F76" t="s">
        <v>51</v>
      </c>
      <c r="G76" t="s">
        <v>1967</v>
      </c>
      <c r="H76" s="9">
        <v>12.5</v>
      </c>
      <c r="I76" s="8">
        <v>0</v>
      </c>
      <c r="J76" s="69"/>
      <c r="K76" t="s">
        <v>1571</v>
      </c>
    </row>
    <row r="77" spans="1:11" x14ac:dyDescent="0.25">
      <c r="A77" s="5" t="s">
        <v>22</v>
      </c>
      <c r="B77" t="s">
        <v>118</v>
      </c>
      <c r="C77" s="8" t="s">
        <v>1968</v>
      </c>
      <c r="D77" t="s">
        <v>835</v>
      </c>
      <c r="E77">
        <v>0</v>
      </c>
      <c r="F77" t="s">
        <v>836</v>
      </c>
      <c r="G77" t="s">
        <v>1969</v>
      </c>
      <c r="H77" s="8" t="s">
        <v>837</v>
      </c>
      <c r="I77" s="8">
        <v>0</v>
      </c>
      <c r="J77" s="69"/>
      <c r="K77" t="s">
        <v>1571</v>
      </c>
    </row>
    <row r="78" spans="1:11" x14ac:dyDescent="0.25">
      <c r="A78" s="5" t="s">
        <v>22</v>
      </c>
      <c r="B78" t="s">
        <v>118</v>
      </c>
      <c r="C78" s="8">
        <v>8.1659722222222229</v>
      </c>
      <c r="D78" t="s">
        <v>253</v>
      </c>
      <c r="E78">
        <v>0</v>
      </c>
      <c r="F78" t="s">
        <v>254</v>
      </c>
      <c r="G78">
        <v>2337014</v>
      </c>
      <c r="H78" s="8">
        <v>12.5</v>
      </c>
      <c r="I78" s="8">
        <v>0.46944444444444444</v>
      </c>
      <c r="J78" s="69"/>
      <c r="K78" t="s">
        <v>1571</v>
      </c>
    </row>
    <row r="79" spans="1:11" x14ac:dyDescent="0.25">
      <c r="A79" s="5" t="s">
        <v>22</v>
      </c>
      <c r="B79" t="s">
        <v>118</v>
      </c>
      <c r="C79" s="8">
        <v>7.6965277777777779</v>
      </c>
      <c r="D79" t="s">
        <v>255</v>
      </c>
      <c r="E79">
        <v>0</v>
      </c>
      <c r="F79" t="s">
        <v>256</v>
      </c>
      <c r="G79">
        <v>2337014</v>
      </c>
      <c r="H79" s="9">
        <v>12.5</v>
      </c>
      <c r="I79" s="8">
        <v>0</v>
      </c>
      <c r="J79" s="69"/>
      <c r="K79" t="s">
        <v>1571</v>
      </c>
    </row>
    <row r="80" spans="1:11" x14ac:dyDescent="0.25">
      <c r="A80" s="5" t="s">
        <v>22</v>
      </c>
      <c r="B80" t="s">
        <v>118</v>
      </c>
      <c r="C80" s="8">
        <v>11.716666666666667</v>
      </c>
      <c r="D80" t="s">
        <v>132</v>
      </c>
      <c r="E80">
        <v>0</v>
      </c>
      <c r="F80" t="s">
        <v>133</v>
      </c>
      <c r="G80">
        <v>2337014</v>
      </c>
      <c r="H80" s="9">
        <v>12.5</v>
      </c>
      <c r="I80" s="8">
        <v>0</v>
      </c>
      <c r="J80" s="69"/>
      <c r="K80" t="s">
        <v>1571</v>
      </c>
    </row>
    <row r="81" spans="1:11" x14ac:dyDescent="0.25">
      <c r="A81" s="5" t="s">
        <v>22</v>
      </c>
      <c r="B81" t="s">
        <v>118</v>
      </c>
      <c r="C81" s="8">
        <v>2.1986111111111111</v>
      </c>
      <c r="D81" t="s">
        <v>1970</v>
      </c>
      <c r="E81">
        <v>0</v>
      </c>
      <c r="F81" t="s">
        <v>1971</v>
      </c>
      <c r="G81">
        <v>2337014</v>
      </c>
      <c r="H81" s="9">
        <v>4.166666666666667</v>
      </c>
      <c r="I81" s="8">
        <v>0</v>
      </c>
      <c r="J81" s="69"/>
      <c r="K81" t="s">
        <v>1571</v>
      </c>
    </row>
    <row r="82" spans="1:11" x14ac:dyDescent="0.25">
      <c r="A82" s="5" t="s">
        <v>22</v>
      </c>
      <c r="B82" t="s">
        <v>118</v>
      </c>
      <c r="C82" s="8">
        <v>7.6229166666666668</v>
      </c>
      <c r="D82" t="s">
        <v>251</v>
      </c>
      <c r="E82">
        <v>0</v>
      </c>
      <c r="F82" t="s">
        <v>252</v>
      </c>
      <c r="G82" t="s">
        <v>1972</v>
      </c>
      <c r="H82" s="9">
        <v>20.833333333333332</v>
      </c>
      <c r="I82" s="8">
        <v>0</v>
      </c>
      <c r="J82" s="69"/>
      <c r="K82" t="s">
        <v>1571</v>
      </c>
    </row>
    <row r="83" spans="1:11" x14ac:dyDescent="0.25">
      <c r="A83" s="5" t="s">
        <v>22</v>
      </c>
      <c r="B83" t="s">
        <v>118</v>
      </c>
      <c r="C83" s="8">
        <v>28.456250000000001</v>
      </c>
      <c r="D83" t="s">
        <v>389</v>
      </c>
      <c r="E83">
        <v>0</v>
      </c>
      <c r="F83" t="s">
        <v>390</v>
      </c>
      <c r="G83" t="s">
        <v>1972</v>
      </c>
      <c r="H83" s="9">
        <v>41.666666666666664</v>
      </c>
      <c r="I83" s="8">
        <v>0</v>
      </c>
      <c r="J83" s="69"/>
      <c r="K83" t="s">
        <v>1571</v>
      </c>
    </row>
    <row r="84" spans="1:11" x14ac:dyDescent="0.25">
      <c r="A84" s="5" t="s">
        <v>22</v>
      </c>
      <c r="B84" t="s">
        <v>118</v>
      </c>
      <c r="C84" s="8" t="s">
        <v>1973</v>
      </c>
      <c r="D84" t="s">
        <v>712</v>
      </c>
      <c r="E84">
        <v>0</v>
      </c>
      <c r="F84" t="s">
        <v>713</v>
      </c>
      <c r="G84" t="s">
        <v>1974</v>
      </c>
      <c r="H84" s="9" t="s">
        <v>38</v>
      </c>
      <c r="I84" s="8">
        <v>0</v>
      </c>
      <c r="J84" s="69"/>
      <c r="K84" t="s">
        <v>1571</v>
      </c>
    </row>
    <row r="85" spans="1:11" x14ac:dyDescent="0.25">
      <c r="A85" s="5" t="s">
        <v>22</v>
      </c>
      <c r="B85" t="s">
        <v>118</v>
      </c>
      <c r="C85" s="8" t="s">
        <v>1975</v>
      </c>
      <c r="D85" t="s">
        <v>672</v>
      </c>
      <c r="E85">
        <v>0</v>
      </c>
      <c r="F85" t="s">
        <v>673</v>
      </c>
      <c r="G85" t="s">
        <v>1976</v>
      </c>
      <c r="H85" s="9" t="s">
        <v>607</v>
      </c>
      <c r="I85" s="8">
        <v>0</v>
      </c>
      <c r="J85" s="69"/>
      <c r="K85" t="s">
        <v>1571</v>
      </c>
    </row>
    <row r="86" spans="1:11" x14ac:dyDescent="0.25">
      <c r="A86" s="5" t="s">
        <v>22</v>
      </c>
      <c r="B86" t="s">
        <v>118</v>
      </c>
      <c r="C86" s="8" t="s">
        <v>1977</v>
      </c>
      <c r="D86" t="s">
        <v>666</v>
      </c>
      <c r="E86">
        <v>0</v>
      </c>
      <c r="F86" t="s">
        <v>667</v>
      </c>
      <c r="G86" t="s">
        <v>1978</v>
      </c>
      <c r="H86" s="9" t="s">
        <v>607</v>
      </c>
      <c r="I86" s="8">
        <v>0</v>
      </c>
      <c r="J86" s="69"/>
      <c r="K86" t="s">
        <v>1571</v>
      </c>
    </row>
    <row r="87" spans="1:11" x14ac:dyDescent="0.25">
      <c r="A87" s="5" t="s">
        <v>22</v>
      </c>
      <c r="B87" t="s">
        <v>118</v>
      </c>
      <c r="C87" s="8">
        <v>44.598611111111111</v>
      </c>
      <c r="D87" t="s">
        <v>432</v>
      </c>
      <c r="E87">
        <v>0</v>
      </c>
      <c r="F87" t="s">
        <v>433</v>
      </c>
      <c r="G87" t="s">
        <v>1978</v>
      </c>
      <c r="H87" s="9">
        <v>79.166666666666671</v>
      </c>
      <c r="I87" s="8">
        <v>0</v>
      </c>
      <c r="J87" s="69"/>
      <c r="K87" t="s">
        <v>1571</v>
      </c>
    </row>
    <row r="88" spans="1:11" x14ac:dyDescent="0.25">
      <c r="A88" s="5" t="s">
        <v>22</v>
      </c>
      <c r="B88" t="s">
        <v>118</v>
      </c>
      <c r="C88" s="8">
        <v>9.1215277777777786</v>
      </c>
      <c r="D88" t="s">
        <v>257</v>
      </c>
      <c r="E88">
        <v>0</v>
      </c>
      <c r="F88" t="s">
        <v>258</v>
      </c>
      <c r="G88" t="s">
        <v>1978</v>
      </c>
      <c r="H88" s="9">
        <v>12.5</v>
      </c>
      <c r="I88" s="8">
        <v>0</v>
      </c>
      <c r="J88" s="69"/>
      <c r="K88" t="s">
        <v>1571</v>
      </c>
    </row>
    <row r="89" spans="1:11" x14ac:dyDescent="0.25">
      <c r="A89" s="5" t="s">
        <v>22</v>
      </c>
      <c r="B89" t="s">
        <v>118</v>
      </c>
      <c r="C89" s="9">
        <v>12.5</v>
      </c>
      <c r="D89" t="s">
        <v>245</v>
      </c>
      <c r="E89">
        <v>0</v>
      </c>
      <c r="F89" t="s">
        <v>246</v>
      </c>
      <c r="G89">
        <v>2707361</v>
      </c>
      <c r="H89" s="9">
        <v>12.5</v>
      </c>
      <c r="I89" s="8">
        <v>0</v>
      </c>
      <c r="J89" s="69"/>
      <c r="K89" t="s">
        <v>1571</v>
      </c>
    </row>
    <row r="90" spans="1:11" x14ac:dyDescent="0.25">
      <c r="A90" s="5" t="s">
        <v>22</v>
      </c>
      <c r="B90" t="s">
        <v>118</v>
      </c>
      <c r="C90" s="9">
        <v>13.061805555555555</v>
      </c>
      <c r="D90" t="s">
        <v>251</v>
      </c>
      <c r="E90">
        <v>0</v>
      </c>
      <c r="F90" t="s">
        <v>252</v>
      </c>
      <c r="G90" t="s">
        <v>1979</v>
      </c>
      <c r="H90" s="9">
        <v>20.833333333333332</v>
      </c>
      <c r="I90" s="8">
        <v>0</v>
      </c>
      <c r="J90" s="69"/>
      <c r="K90" t="s">
        <v>1571</v>
      </c>
    </row>
    <row r="91" spans="1:11" x14ac:dyDescent="0.25">
      <c r="A91" s="5" t="s">
        <v>22</v>
      </c>
      <c r="B91" t="s">
        <v>118</v>
      </c>
      <c r="C91" s="9">
        <v>33.895138888888887</v>
      </c>
      <c r="D91" t="s">
        <v>389</v>
      </c>
      <c r="E91">
        <v>0</v>
      </c>
      <c r="F91" t="s">
        <v>390</v>
      </c>
      <c r="G91" t="s">
        <v>1979</v>
      </c>
      <c r="H91" s="9">
        <v>41.666666666666664</v>
      </c>
      <c r="I91" s="8">
        <v>0</v>
      </c>
      <c r="J91" s="69"/>
      <c r="K91" t="s">
        <v>1571</v>
      </c>
    </row>
    <row r="92" spans="1:11" x14ac:dyDescent="0.25">
      <c r="A92" s="5" t="s">
        <v>22</v>
      </c>
      <c r="B92" t="s">
        <v>118</v>
      </c>
      <c r="C92" s="9">
        <v>0.8256944444444444</v>
      </c>
      <c r="D92" t="s">
        <v>129</v>
      </c>
      <c r="E92">
        <v>0</v>
      </c>
      <c r="F92" t="s">
        <v>1980</v>
      </c>
      <c r="G92" t="s">
        <v>1571</v>
      </c>
      <c r="H92" s="9">
        <v>2.0833333333333335</v>
      </c>
      <c r="I92" s="8">
        <v>0</v>
      </c>
      <c r="J92" s="69"/>
      <c r="K92" t="s">
        <v>1571</v>
      </c>
    </row>
    <row r="93" spans="1:11" x14ac:dyDescent="0.25">
      <c r="A93" s="5" t="s">
        <v>22</v>
      </c>
      <c r="B93" t="s">
        <v>118</v>
      </c>
      <c r="C93" s="9">
        <v>123.63263888888889</v>
      </c>
      <c r="D93" t="s">
        <v>514</v>
      </c>
      <c r="E93">
        <v>0</v>
      </c>
      <c r="F93" t="s">
        <v>515</v>
      </c>
      <c r="G93" t="s">
        <v>1571</v>
      </c>
      <c r="H93" s="9" t="s">
        <v>66</v>
      </c>
      <c r="I93" s="8">
        <v>0</v>
      </c>
      <c r="J93" s="69"/>
      <c r="K93" t="s">
        <v>1571</v>
      </c>
    </row>
    <row r="94" spans="1:11" x14ac:dyDescent="0.25">
      <c r="A94" s="5" t="s">
        <v>22</v>
      </c>
      <c r="B94" t="s">
        <v>118</v>
      </c>
      <c r="C94" s="9" t="s">
        <v>1981</v>
      </c>
      <c r="D94" t="s">
        <v>725</v>
      </c>
      <c r="E94">
        <v>0</v>
      </c>
      <c r="F94" t="s">
        <v>726</v>
      </c>
      <c r="G94" t="s">
        <v>1571</v>
      </c>
      <c r="H94" s="9" t="s">
        <v>38</v>
      </c>
      <c r="I94" s="8">
        <v>0</v>
      </c>
      <c r="J94" s="69"/>
      <c r="K94" t="s">
        <v>1571</v>
      </c>
    </row>
    <row r="95" spans="1:11" x14ac:dyDescent="0.25">
      <c r="A95" s="5" t="s">
        <v>22</v>
      </c>
      <c r="B95" t="s">
        <v>118</v>
      </c>
      <c r="C95" s="9" t="s">
        <v>1982</v>
      </c>
      <c r="D95" t="s">
        <v>739</v>
      </c>
      <c r="E95">
        <v>0</v>
      </c>
      <c r="F95" t="s">
        <v>740</v>
      </c>
      <c r="G95" t="s">
        <v>1571</v>
      </c>
      <c r="H95" s="9" t="s">
        <v>38</v>
      </c>
      <c r="I95" s="8">
        <v>0</v>
      </c>
      <c r="J95" s="69"/>
      <c r="K95" t="s">
        <v>1571</v>
      </c>
    </row>
    <row r="96" spans="1:11" x14ac:dyDescent="0.25">
      <c r="A96" s="5" t="s">
        <v>22</v>
      </c>
      <c r="B96" t="s">
        <v>118</v>
      </c>
      <c r="C96" s="9" t="s">
        <v>1983</v>
      </c>
      <c r="D96" t="s">
        <v>705</v>
      </c>
      <c r="E96">
        <v>0</v>
      </c>
      <c r="F96" t="s">
        <v>706</v>
      </c>
      <c r="G96" t="s">
        <v>1571</v>
      </c>
      <c r="H96" s="9" t="s">
        <v>692</v>
      </c>
      <c r="I96" s="8">
        <v>0</v>
      </c>
      <c r="J96" s="69"/>
      <c r="K96" t="s">
        <v>1571</v>
      </c>
    </row>
    <row r="97" spans="1:11" x14ac:dyDescent="0.25">
      <c r="A97" s="5" t="s">
        <v>22</v>
      </c>
      <c r="B97" t="s">
        <v>118</v>
      </c>
      <c r="C97" s="9" t="s">
        <v>1983</v>
      </c>
      <c r="D97" t="s">
        <v>707</v>
      </c>
      <c r="E97">
        <v>0</v>
      </c>
      <c r="F97" t="s">
        <v>708</v>
      </c>
      <c r="G97" t="s">
        <v>1571</v>
      </c>
      <c r="H97" s="9" t="s">
        <v>692</v>
      </c>
      <c r="I97" s="8">
        <v>0</v>
      </c>
      <c r="J97" s="69"/>
      <c r="K97" t="s">
        <v>1571</v>
      </c>
    </row>
    <row r="98" spans="1:11" x14ac:dyDescent="0.25">
      <c r="A98" s="5" t="s">
        <v>22</v>
      </c>
      <c r="B98" t="s">
        <v>118</v>
      </c>
      <c r="C98" s="9" t="s">
        <v>1983</v>
      </c>
      <c r="D98" t="s">
        <v>709</v>
      </c>
      <c r="E98">
        <v>0</v>
      </c>
      <c r="F98" t="s">
        <v>710</v>
      </c>
      <c r="G98" t="s">
        <v>1571</v>
      </c>
      <c r="H98" s="9" t="s">
        <v>692</v>
      </c>
      <c r="I98" s="8">
        <v>0</v>
      </c>
      <c r="J98" s="69"/>
      <c r="K98" t="s">
        <v>1571</v>
      </c>
    </row>
    <row r="99" spans="1:11" x14ac:dyDescent="0.25">
      <c r="A99" s="5" t="s">
        <v>22</v>
      </c>
      <c r="B99" t="s">
        <v>118</v>
      </c>
      <c r="C99" s="9">
        <v>415.29930555555558</v>
      </c>
      <c r="D99" t="s">
        <v>605</v>
      </c>
      <c r="E99">
        <v>0</v>
      </c>
      <c r="F99" t="s">
        <v>606</v>
      </c>
      <c r="G99" t="s">
        <v>1571</v>
      </c>
      <c r="H99" s="9" t="s">
        <v>607</v>
      </c>
      <c r="I99" s="8">
        <v>0</v>
      </c>
      <c r="J99" s="69"/>
      <c r="K99" t="s">
        <v>1571</v>
      </c>
    </row>
    <row r="100" spans="1:11" x14ac:dyDescent="0.25">
      <c r="A100" s="5" t="s">
        <v>22</v>
      </c>
      <c r="B100" t="s">
        <v>118</v>
      </c>
      <c r="C100" s="9">
        <v>193.09097222222223</v>
      </c>
      <c r="D100" t="s">
        <v>558</v>
      </c>
      <c r="E100">
        <v>0</v>
      </c>
      <c r="F100" t="s">
        <v>559</v>
      </c>
      <c r="G100" t="s">
        <v>1571</v>
      </c>
      <c r="H100" s="9">
        <v>277.79166666666669</v>
      </c>
      <c r="I100" s="8">
        <v>0</v>
      </c>
      <c r="J100" s="69"/>
      <c r="K100" t="s">
        <v>1571</v>
      </c>
    </row>
    <row r="101" spans="1:11" x14ac:dyDescent="0.25">
      <c r="A101" s="5" t="s">
        <v>22</v>
      </c>
      <c r="B101" t="s">
        <v>118</v>
      </c>
      <c r="C101" s="9">
        <v>415.29930555555558</v>
      </c>
      <c r="D101" t="s">
        <v>608</v>
      </c>
      <c r="E101">
        <v>0</v>
      </c>
      <c r="F101" t="s">
        <v>609</v>
      </c>
      <c r="G101" t="s">
        <v>1571</v>
      </c>
      <c r="H101" s="9" t="s">
        <v>607</v>
      </c>
      <c r="I101" s="8">
        <v>0</v>
      </c>
      <c r="J101" s="69"/>
      <c r="K101" t="s">
        <v>1571</v>
      </c>
    </row>
    <row r="102" spans="1:11" x14ac:dyDescent="0.25">
      <c r="A102" s="5" t="s">
        <v>22</v>
      </c>
      <c r="B102" t="s">
        <v>118</v>
      </c>
      <c r="C102" s="9">
        <v>415.29930555555558</v>
      </c>
      <c r="D102" t="s">
        <v>610</v>
      </c>
      <c r="E102">
        <v>0</v>
      </c>
      <c r="F102" t="s">
        <v>611</v>
      </c>
      <c r="G102" t="s">
        <v>1571</v>
      </c>
      <c r="H102" s="9" t="s">
        <v>607</v>
      </c>
      <c r="I102" s="8">
        <v>0</v>
      </c>
      <c r="J102" s="69"/>
      <c r="K102" t="s">
        <v>1571</v>
      </c>
    </row>
    <row r="103" spans="1:11" x14ac:dyDescent="0.25">
      <c r="A103" s="5" t="s">
        <v>22</v>
      </c>
      <c r="B103" t="s">
        <v>118</v>
      </c>
      <c r="C103" s="9">
        <v>415.29930555555558</v>
      </c>
      <c r="D103" t="s">
        <v>612</v>
      </c>
      <c r="E103">
        <v>0</v>
      </c>
      <c r="F103" t="s">
        <v>613</v>
      </c>
      <c r="G103" t="s">
        <v>1571</v>
      </c>
      <c r="H103" s="9" t="s">
        <v>607</v>
      </c>
      <c r="I103" s="8">
        <v>0</v>
      </c>
      <c r="J103" s="69"/>
      <c r="K103" t="s">
        <v>1571</v>
      </c>
    </row>
    <row r="104" spans="1:11" x14ac:dyDescent="0.25">
      <c r="A104" s="5" t="s">
        <v>22</v>
      </c>
      <c r="B104" t="s">
        <v>118</v>
      </c>
      <c r="C104" s="9">
        <v>415.29930555555558</v>
      </c>
      <c r="D104" t="s">
        <v>614</v>
      </c>
      <c r="E104">
        <v>0</v>
      </c>
      <c r="F104" t="s">
        <v>615</v>
      </c>
      <c r="G104" t="s">
        <v>1571</v>
      </c>
      <c r="H104" s="9" t="s">
        <v>607</v>
      </c>
      <c r="I104" s="8">
        <v>0</v>
      </c>
      <c r="J104" s="69"/>
      <c r="K104" t="s">
        <v>1571</v>
      </c>
    </row>
    <row r="105" spans="1:11" x14ac:dyDescent="0.25">
      <c r="A105" s="5" t="s">
        <v>22</v>
      </c>
      <c r="B105" t="s">
        <v>118</v>
      </c>
      <c r="C105" s="9">
        <v>415.29930555555558</v>
      </c>
      <c r="D105" t="s">
        <v>616</v>
      </c>
      <c r="E105">
        <v>0</v>
      </c>
      <c r="F105" t="s">
        <v>617</v>
      </c>
      <c r="G105" t="s">
        <v>1571</v>
      </c>
      <c r="H105" s="9" t="s">
        <v>607</v>
      </c>
      <c r="I105" s="8">
        <v>0</v>
      </c>
      <c r="J105" s="69"/>
      <c r="K105" t="s">
        <v>1571</v>
      </c>
    </row>
    <row r="106" spans="1:11" x14ac:dyDescent="0.25">
      <c r="A106" s="5" t="s">
        <v>22</v>
      </c>
      <c r="B106" t="s">
        <v>118</v>
      </c>
      <c r="C106" s="9">
        <v>415.29930555555558</v>
      </c>
      <c r="D106" t="s">
        <v>618</v>
      </c>
      <c r="E106">
        <v>0</v>
      </c>
      <c r="F106" t="s">
        <v>617</v>
      </c>
      <c r="G106" t="s">
        <v>1571</v>
      </c>
      <c r="H106" s="9" t="s">
        <v>607</v>
      </c>
      <c r="I106" s="8">
        <v>0</v>
      </c>
      <c r="J106" s="69"/>
      <c r="K106" t="s">
        <v>1571</v>
      </c>
    </row>
    <row r="107" spans="1:11" x14ac:dyDescent="0.25">
      <c r="A107" s="5" t="s">
        <v>22</v>
      </c>
      <c r="B107" t="s">
        <v>118</v>
      </c>
      <c r="C107" s="9">
        <v>415.29930555555558</v>
      </c>
      <c r="D107" t="s">
        <v>619</v>
      </c>
      <c r="E107">
        <v>0</v>
      </c>
      <c r="F107" t="s">
        <v>620</v>
      </c>
      <c r="G107" t="s">
        <v>1571</v>
      </c>
      <c r="H107" s="9" t="s">
        <v>607</v>
      </c>
      <c r="I107" s="8">
        <v>0</v>
      </c>
      <c r="J107" s="69"/>
      <c r="K107" t="s">
        <v>1571</v>
      </c>
    </row>
    <row r="108" spans="1:11" x14ac:dyDescent="0.25">
      <c r="A108" s="5" t="s">
        <v>22</v>
      </c>
      <c r="B108" t="s">
        <v>118</v>
      </c>
      <c r="C108" s="9">
        <v>415.29930555555558</v>
      </c>
      <c r="D108" t="s">
        <v>621</v>
      </c>
      <c r="E108">
        <v>0</v>
      </c>
      <c r="F108" t="s">
        <v>622</v>
      </c>
      <c r="G108" t="s">
        <v>1571</v>
      </c>
      <c r="H108" s="9" t="s">
        <v>607</v>
      </c>
      <c r="I108" s="8">
        <v>0</v>
      </c>
      <c r="J108" s="69"/>
      <c r="K108" t="s">
        <v>1571</v>
      </c>
    </row>
    <row r="109" spans="1:11" x14ac:dyDescent="0.25">
      <c r="A109" s="5" t="s">
        <v>22</v>
      </c>
      <c r="B109" t="s">
        <v>118</v>
      </c>
      <c r="C109" s="9">
        <v>415.29930555555558</v>
      </c>
      <c r="D109" t="s">
        <v>623</v>
      </c>
      <c r="E109">
        <v>0</v>
      </c>
      <c r="F109" t="s">
        <v>624</v>
      </c>
      <c r="G109" t="s">
        <v>1571</v>
      </c>
      <c r="H109" s="9" t="s">
        <v>607</v>
      </c>
      <c r="I109" s="8">
        <v>0</v>
      </c>
      <c r="J109" s="69"/>
      <c r="K109" t="s">
        <v>1571</v>
      </c>
    </row>
    <row r="110" spans="1:11" x14ac:dyDescent="0.25">
      <c r="A110" s="5" t="s">
        <v>22</v>
      </c>
      <c r="B110" t="s">
        <v>118</v>
      </c>
      <c r="C110" s="9">
        <v>77.799305555555549</v>
      </c>
      <c r="D110" t="s">
        <v>468</v>
      </c>
      <c r="E110">
        <v>0</v>
      </c>
      <c r="F110" t="s">
        <v>469</v>
      </c>
      <c r="G110" t="s">
        <v>1571</v>
      </c>
      <c r="H110" s="9">
        <v>162.5</v>
      </c>
      <c r="I110" s="8">
        <v>0</v>
      </c>
      <c r="J110" s="69"/>
      <c r="K110" t="s">
        <v>1571</v>
      </c>
    </row>
    <row r="111" spans="1:11" x14ac:dyDescent="0.25">
      <c r="A111" s="5" t="s">
        <v>22</v>
      </c>
      <c r="B111" t="s">
        <v>118</v>
      </c>
      <c r="C111" s="9">
        <v>86.132638888888891</v>
      </c>
      <c r="D111" t="s">
        <v>484</v>
      </c>
      <c r="E111">
        <v>0</v>
      </c>
      <c r="F111" t="s">
        <v>485</v>
      </c>
      <c r="G111" t="s">
        <v>1571</v>
      </c>
      <c r="H111" s="9">
        <v>170.83333333333334</v>
      </c>
      <c r="I111" s="8">
        <v>0</v>
      </c>
      <c r="J111" s="69"/>
      <c r="K111" t="s">
        <v>1571</v>
      </c>
    </row>
    <row r="112" spans="1:11" x14ac:dyDescent="0.25">
      <c r="A112" s="5" t="s">
        <v>22</v>
      </c>
      <c r="B112" t="s">
        <v>118</v>
      </c>
      <c r="C112" s="9">
        <v>86.132638888888891</v>
      </c>
      <c r="D112" t="s">
        <v>486</v>
      </c>
      <c r="E112">
        <v>0</v>
      </c>
      <c r="F112" t="s">
        <v>485</v>
      </c>
      <c r="G112" t="s">
        <v>1571</v>
      </c>
      <c r="H112" s="9">
        <v>170.83333333333334</v>
      </c>
      <c r="I112" s="8">
        <v>0</v>
      </c>
      <c r="J112" s="69"/>
      <c r="K112" t="s">
        <v>1571</v>
      </c>
    </row>
    <row r="113" spans="1:11" x14ac:dyDescent="0.25">
      <c r="A113" s="5" t="s">
        <v>22</v>
      </c>
      <c r="B113" t="s">
        <v>118</v>
      </c>
      <c r="C113" s="9">
        <v>86.132638888888891</v>
      </c>
      <c r="D113" t="s">
        <v>487</v>
      </c>
      <c r="E113">
        <v>0</v>
      </c>
      <c r="F113" t="s">
        <v>485</v>
      </c>
      <c r="G113" t="s">
        <v>1571</v>
      </c>
      <c r="H113" s="9">
        <v>170.83333333333334</v>
      </c>
      <c r="I113" s="8">
        <v>0</v>
      </c>
      <c r="J113" s="69"/>
      <c r="K113" t="s">
        <v>1571</v>
      </c>
    </row>
    <row r="114" spans="1:11" x14ac:dyDescent="0.25">
      <c r="A114" s="5" t="s">
        <v>22</v>
      </c>
      <c r="B114" t="s">
        <v>118</v>
      </c>
      <c r="C114" s="9">
        <v>86.132638888888891</v>
      </c>
      <c r="D114" t="s">
        <v>488</v>
      </c>
      <c r="E114">
        <v>0</v>
      </c>
      <c r="F114" t="s">
        <v>485</v>
      </c>
      <c r="G114" t="s">
        <v>1571</v>
      </c>
      <c r="H114" s="9">
        <v>170.83333333333334</v>
      </c>
      <c r="I114" s="8">
        <v>0</v>
      </c>
      <c r="J114" s="69"/>
      <c r="K114" t="s">
        <v>1571</v>
      </c>
    </row>
    <row r="115" spans="1:11" x14ac:dyDescent="0.25">
      <c r="A115" s="5" t="s">
        <v>22</v>
      </c>
      <c r="B115" t="s">
        <v>118</v>
      </c>
      <c r="C115" s="9">
        <v>86.132638888888891</v>
      </c>
      <c r="D115" t="s">
        <v>489</v>
      </c>
      <c r="E115">
        <v>0</v>
      </c>
      <c r="F115" t="s">
        <v>485</v>
      </c>
      <c r="G115" t="s">
        <v>1571</v>
      </c>
      <c r="H115" s="9">
        <v>170.83333333333334</v>
      </c>
      <c r="I115" s="8">
        <v>0</v>
      </c>
      <c r="J115" s="69"/>
      <c r="K115" t="s">
        <v>1571</v>
      </c>
    </row>
    <row r="116" spans="1:11" x14ac:dyDescent="0.25">
      <c r="A116" s="5" t="s">
        <v>22</v>
      </c>
      <c r="B116" t="s">
        <v>118</v>
      </c>
      <c r="C116" s="9">
        <v>86.132638888888891</v>
      </c>
      <c r="D116" t="s">
        <v>490</v>
      </c>
      <c r="E116">
        <v>0</v>
      </c>
      <c r="F116" t="s">
        <v>485</v>
      </c>
      <c r="G116" t="s">
        <v>1571</v>
      </c>
      <c r="H116" s="9">
        <v>170.83333333333334</v>
      </c>
      <c r="I116" s="8">
        <v>0</v>
      </c>
      <c r="J116" s="69"/>
      <c r="K116" t="s">
        <v>1571</v>
      </c>
    </row>
    <row r="117" spans="1:11" x14ac:dyDescent="0.25">
      <c r="A117" s="5" t="s">
        <v>22</v>
      </c>
      <c r="B117" t="s">
        <v>118</v>
      </c>
      <c r="C117" s="9">
        <v>86.132638888888891</v>
      </c>
      <c r="D117" t="s">
        <v>491</v>
      </c>
      <c r="E117">
        <v>0</v>
      </c>
      <c r="F117" t="s">
        <v>485</v>
      </c>
      <c r="G117" t="s">
        <v>1571</v>
      </c>
      <c r="H117" s="9">
        <v>170.83333333333334</v>
      </c>
      <c r="I117" s="8">
        <v>0</v>
      </c>
      <c r="J117" s="69"/>
      <c r="K117" t="s">
        <v>1571</v>
      </c>
    </row>
    <row r="118" spans="1:11" x14ac:dyDescent="0.25">
      <c r="A118" s="5" t="s">
        <v>22</v>
      </c>
      <c r="B118" t="s">
        <v>118</v>
      </c>
      <c r="C118" s="9">
        <v>86.132638888888891</v>
      </c>
      <c r="D118" t="s">
        <v>492</v>
      </c>
      <c r="E118">
        <v>0</v>
      </c>
      <c r="F118" t="s">
        <v>485</v>
      </c>
      <c r="G118" t="s">
        <v>1571</v>
      </c>
      <c r="H118" s="9">
        <v>170.83333333333334</v>
      </c>
      <c r="I118" s="8">
        <v>0</v>
      </c>
      <c r="J118" s="69"/>
      <c r="K118" t="s">
        <v>1571</v>
      </c>
    </row>
    <row r="119" spans="1:11" x14ac:dyDescent="0.25">
      <c r="A119" s="5" t="s">
        <v>22</v>
      </c>
      <c r="B119" t="s">
        <v>118</v>
      </c>
      <c r="C119" s="9">
        <v>86.132638888888891</v>
      </c>
      <c r="D119" t="s">
        <v>493</v>
      </c>
      <c r="E119">
        <v>0</v>
      </c>
      <c r="F119" t="s">
        <v>485</v>
      </c>
      <c r="G119" t="s">
        <v>1571</v>
      </c>
      <c r="H119" s="9">
        <v>170.83333333333334</v>
      </c>
      <c r="I119" s="8">
        <v>0</v>
      </c>
      <c r="J119" s="69"/>
      <c r="K119" t="s">
        <v>1571</v>
      </c>
    </row>
    <row r="120" spans="1:11" x14ac:dyDescent="0.25">
      <c r="A120" s="5" t="s">
        <v>22</v>
      </c>
      <c r="B120" t="s">
        <v>118</v>
      </c>
      <c r="C120" s="9">
        <v>86.132638888888891</v>
      </c>
      <c r="D120" t="s">
        <v>494</v>
      </c>
      <c r="E120">
        <v>0</v>
      </c>
      <c r="F120" t="s">
        <v>485</v>
      </c>
      <c r="G120" t="s">
        <v>1571</v>
      </c>
      <c r="H120" s="9">
        <v>170.83333333333334</v>
      </c>
      <c r="I120" s="8">
        <v>0</v>
      </c>
      <c r="J120" s="69"/>
      <c r="K120" t="s">
        <v>1571</v>
      </c>
    </row>
    <row r="121" spans="1:11" x14ac:dyDescent="0.25">
      <c r="A121" s="5" t="s">
        <v>22</v>
      </c>
      <c r="B121" t="s">
        <v>118</v>
      </c>
      <c r="C121" s="9">
        <v>415.29930555555558</v>
      </c>
      <c r="D121" t="s">
        <v>625</v>
      </c>
      <c r="E121">
        <v>0</v>
      </c>
      <c r="F121" t="s">
        <v>626</v>
      </c>
      <c r="G121" t="s">
        <v>1571</v>
      </c>
      <c r="H121" s="9" t="s">
        <v>607</v>
      </c>
      <c r="I121" s="8">
        <v>0</v>
      </c>
      <c r="J121" s="69"/>
      <c r="K121" t="s">
        <v>1571</v>
      </c>
    </row>
    <row r="122" spans="1:11" x14ac:dyDescent="0.25">
      <c r="A122" s="5" t="s">
        <v>22</v>
      </c>
      <c r="B122" t="s">
        <v>118</v>
      </c>
      <c r="C122" s="9">
        <v>415.29930555555558</v>
      </c>
      <c r="D122" t="s">
        <v>627</v>
      </c>
      <c r="E122">
        <v>0</v>
      </c>
      <c r="F122" t="s">
        <v>628</v>
      </c>
      <c r="G122" t="s">
        <v>1571</v>
      </c>
      <c r="H122" s="9" t="s">
        <v>607</v>
      </c>
      <c r="I122" s="8">
        <v>0</v>
      </c>
      <c r="J122" s="69"/>
      <c r="K122" t="s">
        <v>1571</v>
      </c>
    </row>
    <row r="123" spans="1:11" x14ac:dyDescent="0.25">
      <c r="A123" s="5" t="s">
        <v>22</v>
      </c>
      <c r="B123" t="s">
        <v>118</v>
      </c>
      <c r="C123" s="9">
        <v>415.29930555555558</v>
      </c>
      <c r="D123" t="s">
        <v>629</v>
      </c>
      <c r="E123">
        <v>0</v>
      </c>
      <c r="F123" t="s">
        <v>628</v>
      </c>
      <c r="G123" t="s">
        <v>1571</v>
      </c>
      <c r="H123" s="9" t="s">
        <v>607</v>
      </c>
      <c r="I123" s="8">
        <v>0</v>
      </c>
      <c r="J123" s="69"/>
      <c r="K123" t="s">
        <v>1571</v>
      </c>
    </row>
    <row r="124" spans="1:11" x14ac:dyDescent="0.25">
      <c r="A124" s="5" t="s">
        <v>22</v>
      </c>
      <c r="B124" t="s">
        <v>118</v>
      </c>
      <c r="C124" s="9">
        <v>415.29930555555558</v>
      </c>
      <c r="D124" t="s">
        <v>630</v>
      </c>
      <c r="E124">
        <v>0</v>
      </c>
      <c r="F124" t="s">
        <v>631</v>
      </c>
      <c r="G124" t="s">
        <v>1571</v>
      </c>
      <c r="H124" s="9" t="s">
        <v>607</v>
      </c>
      <c r="I124" s="8">
        <v>0</v>
      </c>
      <c r="J124" s="69"/>
      <c r="K124" t="s">
        <v>1571</v>
      </c>
    </row>
    <row r="125" spans="1:11" x14ac:dyDescent="0.25">
      <c r="A125" s="5" t="s">
        <v>22</v>
      </c>
      <c r="B125" t="s">
        <v>118</v>
      </c>
      <c r="C125" s="9">
        <v>415.29930555555558</v>
      </c>
      <c r="D125" t="s">
        <v>632</v>
      </c>
      <c r="E125">
        <v>0</v>
      </c>
      <c r="F125" t="s">
        <v>631</v>
      </c>
      <c r="G125" t="s">
        <v>1571</v>
      </c>
      <c r="H125" s="9" t="s">
        <v>607</v>
      </c>
      <c r="I125" s="8">
        <v>0</v>
      </c>
      <c r="J125" s="69"/>
      <c r="K125" t="s">
        <v>1571</v>
      </c>
    </row>
    <row r="126" spans="1:11" x14ac:dyDescent="0.25">
      <c r="A126" s="5" t="s">
        <v>22</v>
      </c>
      <c r="B126" t="s">
        <v>118</v>
      </c>
      <c r="C126" s="9">
        <v>415.29930555555558</v>
      </c>
      <c r="D126" t="s">
        <v>633</v>
      </c>
      <c r="E126">
        <v>0</v>
      </c>
      <c r="F126" t="s">
        <v>634</v>
      </c>
      <c r="G126" t="s">
        <v>1571</v>
      </c>
      <c r="H126" s="9" t="s">
        <v>607</v>
      </c>
      <c r="I126" s="8">
        <v>0</v>
      </c>
      <c r="J126" s="69"/>
      <c r="K126" t="s">
        <v>1571</v>
      </c>
    </row>
    <row r="127" spans="1:11" x14ac:dyDescent="0.25">
      <c r="A127" s="5" t="s">
        <v>22</v>
      </c>
      <c r="B127" t="s">
        <v>118</v>
      </c>
      <c r="C127" s="9">
        <v>415.29930555555558</v>
      </c>
      <c r="D127" t="s">
        <v>635</v>
      </c>
      <c r="E127">
        <v>0</v>
      </c>
      <c r="F127" t="s">
        <v>636</v>
      </c>
      <c r="G127" t="s">
        <v>1571</v>
      </c>
      <c r="H127" s="9" t="s">
        <v>607</v>
      </c>
      <c r="I127" s="8">
        <v>0</v>
      </c>
      <c r="J127" s="69"/>
      <c r="K127" t="s">
        <v>1571</v>
      </c>
    </row>
    <row r="128" spans="1:11" x14ac:dyDescent="0.25">
      <c r="A128" s="5" t="s">
        <v>22</v>
      </c>
      <c r="B128" t="s">
        <v>118</v>
      </c>
      <c r="C128" s="9">
        <v>415.29930555555558</v>
      </c>
      <c r="D128" t="s">
        <v>637</v>
      </c>
      <c r="E128">
        <v>0</v>
      </c>
      <c r="F128" t="s">
        <v>638</v>
      </c>
      <c r="G128" t="s">
        <v>1571</v>
      </c>
      <c r="H128" s="9" t="s">
        <v>607</v>
      </c>
      <c r="I128" s="8">
        <v>0</v>
      </c>
      <c r="J128" s="69"/>
      <c r="K128" t="s">
        <v>1571</v>
      </c>
    </row>
    <row r="129" spans="1:11" x14ac:dyDescent="0.25">
      <c r="A129" s="5" t="s">
        <v>22</v>
      </c>
      <c r="B129" t="s">
        <v>118</v>
      </c>
      <c r="C129" s="9">
        <v>415.29930555555558</v>
      </c>
      <c r="D129" t="s">
        <v>639</v>
      </c>
      <c r="E129">
        <v>0</v>
      </c>
      <c r="F129" t="s">
        <v>640</v>
      </c>
      <c r="G129" t="s">
        <v>1571</v>
      </c>
      <c r="H129" s="9" t="s">
        <v>607</v>
      </c>
      <c r="I129" s="8">
        <v>0</v>
      </c>
      <c r="J129" s="69"/>
      <c r="K129" t="s">
        <v>1571</v>
      </c>
    </row>
    <row r="130" spans="1:11" x14ac:dyDescent="0.25">
      <c r="A130" s="5" t="s">
        <v>22</v>
      </c>
      <c r="B130" t="s">
        <v>118</v>
      </c>
      <c r="C130" s="9">
        <v>415.29930555555558</v>
      </c>
      <c r="D130" t="s">
        <v>641</v>
      </c>
      <c r="E130">
        <v>0</v>
      </c>
      <c r="F130" t="s">
        <v>642</v>
      </c>
      <c r="G130" t="s">
        <v>1571</v>
      </c>
      <c r="H130" s="9" t="s">
        <v>607</v>
      </c>
      <c r="I130" s="8">
        <v>0</v>
      </c>
      <c r="J130" s="69"/>
      <c r="K130" t="s">
        <v>1571</v>
      </c>
    </row>
    <row r="131" spans="1:11" x14ac:dyDescent="0.25">
      <c r="A131" s="5" t="s">
        <v>22</v>
      </c>
      <c r="B131" t="s">
        <v>118</v>
      </c>
      <c r="C131" s="9">
        <v>140.29930555555555</v>
      </c>
      <c r="D131" t="s">
        <v>526</v>
      </c>
      <c r="E131">
        <v>0</v>
      </c>
      <c r="F131" t="s">
        <v>527</v>
      </c>
      <c r="G131" t="s">
        <v>1571</v>
      </c>
      <c r="H131" s="9">
        <v>225</v>
      </c>
      <c r="I131" s="8">
        <v>0</v>
      </c>
      <c r="J131" s="69"/>
      <c r="K131" t="s">
        <v>1571</v>
      </c>
    </row>
    <row r="132" spans="1:11" x14ac:dyDescent="0.25">
      <c r="A132" s="5" t="s">
        <v>22</v>
      </c>
      <c r="B132" t="s">
        <v>118</v>
      </c>
      <c r="C132" s="9">
        <v>140.29930555555555</v>
      </c>
      <c r="D132" t="s">
        <v>528</v>
      </c>
      <c r="E132">
        <v>0</v>
      </c>
      <c r="F132" t="s">
        <v>527</v>
      </c>
      <c r="G132" t="s">
        <v>1571</v>
      </c>
      <c r="H132" s="9">
        <v>225</v>
      </c>
      <c r="I132" s="8">
        <v>0</v>
      </c>
      <c r="J132" s="69"/>
      <c r="K132" t="s">
        <v>1571</v>
      </c>
    </row>
    <row r="133" spans="1:11" x14ac:dyDescent="0.25">
      <c r="A133" s="5" t="s">
        <v>22</v>
      </c>
      <c r="B133" t="s">
        <v>118</v>
      </c>
      <c r="C133" s="9">
        <v>140.29930555555555</v>
      </c>
      <c r="D133" t="s">
        <v>529</v>
      </c>
      <c r="E133">
        <v>0</v>
      </c>
      <c r="F133" t="s">
        <v>527</v>
      </c>
      <c r="G133" t="s">
        <v>1571</v>
      </c>
      <c r="H133" s="9">
        <v>225</v>
      </c>
      <c r="I133" s="8">
        <v>0</v>
      </c>
      <c r="J133" s="69"/>
      <c r="K133" t="s">
        <v>1571</v>
      </c>
    </row>
    <row r="134" spans="1:11" x14ac:dyDescent="0.25">
      <c r="A134" s="5" t="s">
        <v>22</v>
      </c>
      <c r="B134" t="s">
        <v>118</v>
      </c>
      <c r="C134" s="9">
        <v>140.29930555555555</v>
      </c>
      <c r="D134" t="s">
        <v>530</v>
      </c>
      <c r="E134">
        <v>0</v>
      </c>
      <c r="F134" t="s">
        <v>531</v>
      </c>
      <c r="G134" t="s">
        <v>1571</v>
      </c>
      <c r="H134" s="9">
        <v>225</v>
      </c>
      <c r="I134" s="8">
        <v>0</v>
      </c>
      <c r="J134" s="69"/>
      <c r="K134" t="s">
        <v>1571</v>
      </c>
    </row>
    <row r="135" spans="1:11" x14ac:dyDescent="0.25">
      <c r="A135" s="5" t="s">
        <v>22</v>
      </c>
      <c r="B135" t="s">
        <v>118</v>
      </c>
      <c r="C135" s="9">
        <v>140.29930555555555</v>
      </c>
      <c r="D135" t="s">
        <v>532</v>
      </c>
      <c r="E135">
        <v>0</v>
      </c>
      <c r="F135" t="s">
        <v>531</v>
      </c>
      <c r="G135" t="s">
        <v>1571</v>
      </c>
      <c r="H135" s="9">
        <v>225</v>
      </c>
      <c r="I135" s="8">
        <v>0</v>
      </c>
      <c r="J135" s="69"/>
      <c r="K135" t="s">
        <v>1571</v>
      </c>
    </row>
    <row r="136" spans="1:11" x14ac:dyDescent="0.25">
      <c r="A136" s="5" t="s">
        <v>22</v>
      </c>
      <c r="B136" t="s">
        <v>118</v>
      </c>
      <c r="C136" s="9">
        <v>140.29930555555555</v>
      </c>
      <c r="D136" t="s">
        <v>533</v>
      </c>
      <c r="E136">
        <v>0</v>
      </c>
      <c r="F136" t="s">
        <v>531</v>
      </c>
      <c r="G136" t="s">
        <v>1571</v>
      </c>
      <c r="H136" s="9">
        <v>225</v>
      </c>
      <c r="I136" s="8">
        <v>0</v>
      </c>
      <c r="J136" s="69"/>
      <c r="K136" t="s">
        <v>1571</v>
      </c>
    </row>
    <row r="137" spans="1:11" x14ac:dyDescent="0.25">
      <c r="A137" s="5" t="s">
        <v>22</v>
      </c>
      <c r="B137" t="s">
        <v>118</v>
      </c>
      <c r="C137" s="9">
        <v>140.29930555555555</v>
      </c>
      <c r="D137" t="s">
        <v>534</v>
      </c>
      <c r="E137">
        <v>0</v>
      </c>
      <c r="F137" t="s">
        <v>531</v>
      </c>
      <c r="G137" t="s">
        <v>1571</v>
      </c>
      <c r="H137" s="9">
        <v>225</v>
      </c>
      <c r="I137" s="8">
        <v>0</v>
      </c>
      <c r="J137" s="69"/>
      <c r="K137" t="s">
        <v>1571</v>
      </c>
    </row>
    <row r="138" spans="1:11" x14ac:dyDescent="0.25">
      <c r="A138" s="5" t="s">
        <v>22</v>
      </c>
      <c r="B138" t="s">
        <v>118</v>
      </c>
      <c r="C138" s="9">
        <v>140.29930555555555</v>
      </c>
      <c r="D138" t="s">
        <v>535</v>
      </c>
      <c r="E138">
        <v>0</v>
      </c>
      <c r="F138" t="s">
        <v>531</v>
      </c>
      <c r="G138" t="s">
        <v>1571</v>
      </c>
      <c r="H138" s="9">
        <v>225</v>
      </c>
      <c r="I138" s="8">
        <v>0</v>
      </c>
      <c r="J138" s="69"/>
      <c r="K138" t="s">
        <v>1571</v>
      </c>
    </row>
    <row r="139" spans="1:11" x14ac:dyDescent="0.25">
      <c r="A139" s="5" t="s">
        <v>22</v>
      </c>
      <c r="B139" t="s">
        <v>118</v>
      </c>
      <c r="C139" s="9">
        <v>140.29930555555555</v>
      </c>
      <c r="D139" t="s">
        <v>536</v>
      </c>
      <c r="E139">
        <v>0</v>
      </c>
      <c r="F139" t="s">
        <v>531</v>
      </c>
      <c r="G139" t="s">
        <v>1571</v>
      </c>
      <c r="H139" s="9">
        <v>225</v>
      </c>
      <c r="I139" s="8">
        <v>0</v>
      </c>
      <c r="J139" s="69"/>
      <c r="K139" t="s">
        <v>1571</v>
      </c>
    </row>
    <row r="140" spans="1:11" x14ac:dyDescent="0.25">
      <c r="A140" s="5" t="s">
        <v>22</v>
      </c>
      <c r="B140" t="s">
        <v>118</v>
      </c>
      <c r="C140" s="9">
        <v>140.29930555555555</v>
      </c>
      <c r="D140" t="s">
        <v>537</v>
      </c>
      <c r="E140">
        <v>0</v>
      </c>
      <c r="F140" t="s">
        <v>538</v>
      </c>
      <c r="G140" t="s">
        <v>1571</v>
      </c>
      <c r="H140" s="9">
        <v>225</v>
      </c>
      <c r="I140" s="8">
        <v>0</v>
      </c>
      <c r="J140" s="69"/>
      <c r="K140" t="s">
        <v>1571</v>
      </c>
    </row>
    <row r="141" spans="1:11" x14ac:dyDescent="0.25">
      <c r="A141" s="5" t="s">
        <v>22</v>
      </c>
      <c r="B141" t="s">
        <v>118</v>
      </c>
      <c r="C141" s="9">
        <v>140.29930555555555</v>
      </c>
      <c r="D141" t="s">
        <v>539</v>
      </c>
      <c r="E141">
        <v>0</v>
      </c>
      <c r="F141" t="s">
        <v>540</v>
      </c>
      <c r="G141" t="s">
        <v>1571</v>
      </c>
      <c r="H141" s="9">
        <v>225</v>
      </c>
      <c r="I141" s="8">
        <v>0</v>
      </c>
      <c r="J141" s="69"/>
      <c r="K141" t="s">
        <v>1571</v>
      </c>
    </row>
    <row r="142" spans="1:11" x14ac:dyDescent="0.25">
      <c r="A142" s="5" t="s">
        <v>22</v>
      </c>
      <c r="B142" t="s">
        <v>118</v>
      </c>
      <c r="C142" s="9">
        <v>415.29930555555558</v>
      </c>
      <c r="D142" t="s">
        <v>643</v>
      </c>
      <c r="E142">
        <v>0</v>
      </c>
      <c r="F142" t="s">
        <v>644</v>
      </c>
      <c r="G142" t="s">
        <v>1571</v>
      </c>
      <c r="H142" s="9" t="s">
        <v>607</v>
      </c>
      <c r="I142" s="8">
        <v>0</v>
      </c>
      <c r="J142" s="69"/>
      <c r="K142" t="s">
        <v>1571</v>
      </c>
    </row>
    <row r="143" spans="1:11" x14ac:dyDescent="0.25">
      <c r="A143" s="5" t="s">
        <v>22</v>
      </c>
      <c r="B143" t="s">
        <v>118</v>
      </c>
      <c r="C143" s="9">
        <v>415.29930555555558</v>
      </c>
      <c r="D143" t="s">
        <v>645</v>
      </c>
      <c r="E143">
        <v>0</v>
      </c>
      <c r="F143" t="s">
        <v>646</v>
      </c>
      <c r="G143" t="s">
        <v>1571</v>
      </c>
      <c r="H143" s="9" t="s">
        <v>607</v>
      </c>
      <c r="I143" s="8">
        <v>0</v>
      </c>
      <c r="J143" s="69"/>
      <c r="K143" t="s">
        <v>1571</v>
      </c>
    </row>
    <row r="144" spans="1:11" x14ac:dyDescent="0.25">
      <c r="A144" s="5" t="s">
        <v>22</v>
      </c>
      <c r="B144" t="s">
        <v>118</v>
      </c>
      <c r="C144" s="9">
        <v>415.29930555555558</v>
      </c>
      <c r="D144" t="s">
        <v>647</v>
      </c>
      <c r="E144">
        <v>0</v>
      </c>
      <c r="F144" t="s">
        <v>646</v>
      </c>
      <c r="G144" t="s">
        <v>1571</v>
      </c>
      <c r="H144" s="9" t="s">
        <v>607</v>
      </c>
      <c r="I144" s="8">
        <v>0</v>
      </c>
      <c r="J144" s="69"/>
      <c r="K144" t="s">
        <v>1571</v>
      </c>
    </row>
    <row r="145" spans="1:11" x14ac:dyDescent="0.25">
      <c r="A145" s="5" t="s">
        <v>22</v>
      </c>
      <c r="B145" t="s">
        <v>118</v>
      </c>
      <c r="C145" s="9">
        <v>40.299305555555556</v>
      </c>
      <c r="D145" t="s">
        <v>418</v>
      </c>
      <c r="E145">
        <v>0</v>
      </c>
      <c r="F145" t="s">
        <v>419</v>
      </c>
      <c r="G145" t="s">
        <v>1571</v>
      </c>
      <c r="H145" s="9">
        <v>125</v>
      </c>
      <c r="I145" s="8">
        <v>0</v>
      </c>
      <c r="J145" s="69"/>
      <c r="K145" t="s">
        <v>1571</v>
      </c>
    </row>
    <row r="146" spans="1:11" x14ac:dyDescent="0.25">
      <c r="A146" s="5" t="s">
        <v>22</v>
      </c>
      <c r="B146" t="s">
        <v>118</v>
      </c>
      <c r="C146" s="9">
        <v>415.29930555555558</v>
      </c>
      <c r="D146" t="s">
        <v>648</v>
      </c>
      <c r="E146">
        <v>0</v>
      </c>
      <c r="F146" t="s">
        <v>419</v>
      </c>
      <c r="G146" t="s">
        <v>1571</v>
      </c>
      <c r="H146" s="9" t="s">
        <v>607</v>
      </c>
      <c r="I146" s="8">
        <v>0</v>
      </c>
      <c r="J146" s="69"/>
      <c r="K146" t="s">
        <v>1571</v>
      </c>
    </row>
    <row r="147" spans="1:11" x14ac:dyDescent="0.25">
      <c r="A147" s="5" t="s">
        <v>22</v>
      </c>
      <c r="B147" t="s">
        <v>118</v>
      </c>
      <c r="C147" s="9">
        <v>140.29930555555555</v>
      </c>
      <c r="D147" t="s">
        <v>541</v>
      </c>
      <c r="E147">
        <v>0</v>
      </c>
      <c r="F147" t="s">
        <v>542</v>
      </c>
      <c r="G147" t="s">
        <v>1571</v>
      </c>
      <c r="H147" s="9">
        <v>225</v>
      </c>
      <c r="I147" s="8">
        <v>0</v>
      </c>
      <c r="J147" s="69"/>
      <c r="K147" t="s">
        <v>1571</v>
      </c>
    </row>
    <row r="148" spans="1:11" x14ac:dyDescent="0.25">
      <c r="A148" s="5" t="s">
        <v>22</v>
      </c>
      <c r="B148" t="s">
        <v>118</v>
      </c>
      <c r="C148" s="9">
        <v>415.29930555555558</v>
      </c>
      <c r="D148" t="s">
        <v>649</v>
      </c>
      <c r="E148">
        <v>0</v>
      </c>
      <c r="F148" t="s">
        <v>650</v>
      </c>
      <c r="G148" t="s">
        <v>1571</v>
      </c>
      <c r="H148" s="9" t="s">
        <v>607</v>
      </c>
      <c r="I148" s="8">
        <v>0</v>
      </c>
      <c r="J148" s="69"/>
      <c r="K148" t="s">
        <v>1571</v>
      </c>
    </row>
    <row r="149" spans="1:11" x14ac:dyDescent="0.25">
      <c r="A149" s="5" t="s">
        <v>22</v>
      </c>
      <c r="B149" t="s">
        <v>118</v>
      </c>
      <c r="C149" s="9">
        <v>211.13263888888889</v>
      </c>
      <c r="D149" t="s">
        <v>564</v>
      </c>
      <c r="E149">
        <v>0</v>
      </c>
      <c r="F149" t="s">
        <v>565</v>
      </c>
      <c r="G149" t="s">
        <v>1571</v>
      </c>
      <c r="H149" s="9">
        <v>295.83333333333331</v>
      </c>
      <c r="I149" s="8">
        <v>0</v>
      </c>
      <c r="J149" s="69"/>
      <c r="K149" t="s">
        <v>1571</v>
      </c>
    </row>
    <row r="150" spans="1:11" x14ac:dyDescent="0.25">
      <c r="A150" s="5" t="s">
        <v>22</v>
      </c>
      <c r="B150" t="s">
        <v>118</v>
      </c>
      <c r="C150" s="9">
        <v>211.13263888888889</v>
      </c>
      <c r="D150" t="s">
        <v>566</v>
      </c>
      <c r="E150">
        <v>0</v>
      </c>
      <c r="F150" t="s">
        <v>567</v>
      </c>
      <c r="G150" t="s">
        <v>1571</v>
      </c>
      <c r="H150" s="9">
        <v>295.83333333333331</v>
      </c>
      <c r="I150" s="8">
        <v>0</v>
      </c>
      <c r="J150" s="69"/>
      <c r="K150" t="s">
        <v>1571</v>
      </c>
    </row>
    <row r="151" spans="1:11" x14ac:dyDescent="0.25">
      <c r="A151" s="5" t="s">
        <v>22</v>
      </c>
      <c r="B151" t="s">
        <v>118</v>
      </c>
      <c r="C151" s="9">
        <v>86.132638888888891</v>
      </c>
      <c r="D151" t="s">
        <v>495</v>
      </c>
      <c r="E151">
        <v>0</v>
      </c>
      <c r="F151" t="s">
        <v>496</v>
      </c>
      <c r="G151" t="s">
        <v>1571</v>
      </c>
      <c r="H151" s="9">
        <v>170.83333333333334</v>
      </c>
      <c r="I151" s="8">
        <v>0</v>
      </c>
      <c r="J151" s="69"/>
      <c r="K151" t="s">
        <v>1571</v>
      </c>
    </row>
    <row r="152" spans="1:11" x14ac:dyDescent="0.25">
      <c r="A152" s="5" t="s">
        <v>22</v>
      </c>
      <c r="B152" t="s">
        <v>118</v>
      </c>
      <c r="C152" s="9">
        <v>86.132638888888891</v>
      </c>
      <c r="D152" t="s">
        <v>497</v>
      </c>
      <c r="E152">
        <v>0</v>
      </c>
      <c r="F152" t="s">
        <v>496</v>
      </c>
      <c r="G152" t="s">
        <v>1571</v>
      </c>
      <c r="H152" s="9">
        <v>170.83333333333334</v>
      </c>
      <c r="I152" s="8">
        <v>0</v>
      </c>
      <c r="J152" s="69"/>
      <c r="K152" t="s">
        <v>1571</v>
      </c>
    </row>
    <row r="153" spans="1:11" x14ac:dyDescent="0.25">
      <c r="A153" s="5" t="s">
        <v>22</v>
      </c>
      <c r="B153" t="s">
        <v>118</v>
      </c>
      <c r="C153" s="9">
        <v>86.132638888888891</v>
      </c>
      <c r="D153" t="s">
        <v>498</v>
      </c>
      <c r="E153">
        <v>0</v>
      </c>
      <c r="F153" t="s">
        <v>496</v>
      </c>
      <c r="G153" t="s">
        <v>1571</v>
      </c>
      <c r="H153" s="9">
        <v>170.83333333333334</v>
      </c>
      <c r="I153" s="8">
        <v>0</v>
      </c>
      <c r="J153" s="69"/>
      <c r="K153" t="s">
        <v>1571</v>
      </c>
    </row>
    <row r="154" spans="1:11" x14ac:dyDescent="0.25">
      <c r="A154" s="5" t="s">
        <v>22</v>
      </c>
      <c r="B154" t="s">
        <v>118</v>
      </c>
      <c r="C154" s="9">
        <v>86.132638888888891</v>
      </c>
      <c r="D154" t="s">
        <v>499</v>
      </c>
      <c r="E154">
        <v>0</v>
      </c>
      <c r="F154" t="s">
        <v>496</v>
      </c>
      <c r="G154" t="s">
        <v>1571</v>
      </c>
      <c r="H154" s="9">
        <v>170.83333333333334</v>
      </c>
      <c r="I154" s="8">
        <v>0</v>
      </c>
      <c r="J154" s="69"/>
      <c r="K154" t="s">
        <v>1571</v>
      </c>
    </row>
    <row r="155" spans="1:11" x14ac:dyDescent="0.25">
      <c r="A155" s="5" t="s">
        <v>22</v>
      </c>
      <c r="B155" t="s">
        <v>118</v>
      </c>
      <c r="C155" s="9">
        <v>86.132638888888891</v>
      </c>
      <c r="D155" t="s">
        <v>500</v>
      </c>
      <c r="E155">
        <v>0</v>
      </c>
      <c r="F155" t="s">
        <v>496</v>
      </c>
      <c r="G155" t="s">
        <v>1571</v>
      </c>
      <c r="H155" s="9">
        <v>170.83333333333334</v>
      </c>
      <c r="I155" s="8">
        <v>0</v>
      </c>
      <c r="J155" s="69"/>
      <c r="K155" t="s">
        <v>1571</v>
      </c>
    </row>
    <row r="156" spans="1:11" x14ac:dyDescent="0.25">
      <c r="A156" s="5" t="s">
        <v>22</v>
      </c>
      <c r="B156" t="s">
        <v>118</v>
      </c>
      <c r="C156" s="9">
        <v>86.132638888888891</v>
      </c>
      <c r="D156" t="s">
        <v>501</v>
      </c>
      <c r="E156">
        <v>0</v>
      </c>
      <c r="F156" t="s">
        <v>496</v>
      </c>
      <c r="G156" t="s">
        <v>1571</v>
      </c>
      <c r="H156" s="9">
        <v>170.83333333333334</v>
      </c>
      <c r="I156" s="8">
        <v>0</v>
      </c>
      <c r="J156" s="69"/>
      <c r="K156" t="s">
        <v>1571</v>
      </c>
    </row>
    <row r="157" spans="1:11" x14ac:dyDescent="0.25">
      <c r="A157" s="5" t="s">
        <v>22</v>
      </c>
      <c r="B157" t="s">
        <v>118</v>
      </c>
      <c r="C157" s="9">
        <v>211.13263888888889</v>
      </c>
      <c r="D157" t="s">
        <v>568</v>
      </c>
      <c r="E157">
        <v>0</v>
      </c>
      <c r="F157" t="s">
        <v>569</v>
      </c>
      <c r="G157" t="s">
        <v>1571</v>
      </c>
      <c r="H157" s="9">
        <v>295.83333333333331</v>
      </c>
      <c r="I157" s="8">
        <v>0</v>
      </c>
      <c r="J157" s="69"/>
      <c r="K157" t="s">
        <v>1571</v>
      </c>
    </row>
    <row r="158" spans="1:11" x14ac:dyDescent="0.25">
      <c r="A158" s="5" t="s">
        <v>22</v>
      </c>
      <c r="B158" t="s">
        <v>118</v>
      </c>
      <c r="C158" s="9">
        <v>211.13263888888889</v>
      </c>
      <c r="D158" t="s">
        <v>570</v>
      </c>
      <c r="E158">
        <v>0</v>
      </c>
      <c r="F158" t="s">
        <v>569</v>
      </c>
      <c r="G158" t="s">
        <v>1571</v>
      </c>
      <c r="H158" s="9">
        <v>295.83333333333331</v>
      </c>
      <c r="I158" s="8">
        <v>0</v>
      </c>
      <c r="J158" s="69"/>
      <c r="K158" t="s">
        <v>1571</v>
      </c>
    </row>
    <row r="159" spans="1:11" x14ac:dyDescent="0.25">
      <c r="A159" s="5" t="s">
        <v>22</v>
      </c>
      <c r="B159" t="s">
        <v>118</v>
      </c>
      <c r="C159" s="9">
        <v>415.29930555555558</v>
      </c>
      <c r="D159" t="s">
        <v>651</v>
      </c>
      <c r="E159">
        <v>0</v>
      </c>
      <c r="F159" t="s">
        <v>652</v>
      </c>
      <c r="G159" t="s">
        <v>1571</v>
      </c>
      <c r="H159" s="9" t="s">
        <v>607</v>
      </c>
      <c r="I159" s="8">
        <v>0</v>
      </c>
      <c r="J159" s="69"/>
      <c r="K159" t="s">
        <v>1571</v>
      </c>
    </row>
    <row r="160" spans="1:11" x14ac:dyDescent="0.25">
      <c r="A160" s="5" t="s">
        <v>22</v>
      </c>
      <c r="B160" t="s">
        <v>118</v>
      </c>
      <c r="C160" s="9">
        <v>415.29930555555558</v>
      </c>
      <c r="D160" t="s">
        <v>653</v>
      </c>
      <c r="E160">
        <v>0</v>
      </c>
      <c r="F160" t="s">
        <v>654</v>
      </c>
      <c r="G160" t="s">
        <v>1571</v>
      </c>
      <c r="H160" t="s">
        <v>607</v>
      </c>
      <c r="I160" s="8">
        <v>0</v>
      </c>
      <c r="J160" s="69"/>
      <c r="K160" t="s">
        <v>1571</v>
      </c>
    </row>
    <row r="161" spans="1:11" x14ac:dyDescent="0.25">
      <c r="A161" s="5" t="s">
        <v>22</v>
      </c>
      <c r="B161" t="s">
        <v>118</v>
      </c>
      <c r="C161" s="9">
        <v>415.29930555555558</v>
      </c>
      <c r="D161" t="s">
        <v>655</v>
      </c>
      <c r="E161">
        <v>0</v>
      </c>
      <c r="F161" t="s">
        <v>654</v>
      </c>
      <c r="G161" t="s">
        <v>1571</v>
      </c>
      <c r="H161" t="s">
        <v>607</v>
      </c>
      <c r="I161" s="8">
        <v>0</v>
      </c>
      <c r="J161" s="69"/>
      <c r="K161" t="s">
        <v>1571</v>
      </c>
    </row>
    <row r="162" spans="1:11" x14ac:dyDescent="0.25">
      <c r="A162" s="5" t="s">
        <v>22</v>
      </c>
      <c r="B162" t="s">
        <v>118</v>
      </c>
      <c r="C162" s="9" t="s">
        <v>1981</v>
      </c>
      <c r="D162" t="s">
        <v>727</v>
      </c>
      <c r="E162">
        <v>0</v>
      </c>
      <c r="F162" t="s">
        <v>728</v>
      </c>
      <c r="G162" t="s">
        <v>1571</v>
      </c>
      <c r="H162" s="9" t="s">
        <v>66</v>
      </c>
      <c r="I162" s="8">
        <v>0</v>
      </c>
      <c r="J162" s="69"/>
      <c r="K162" t="s">
        <v>1571</v>
      </c>
    </row>
    <row r="163" spans="1:11" x14ac:dyDescent="0.25">
      <c r="A163" s="5" t="s">
        <v>22</v>
      </c>
      <c r="B163" t="s">
        <v>118</v>
      </c>
      <c r="C163" s="9" t="s">
        <v>1981</v>
      </c>
      <c r="D163" t="s">
        <v>729</v>
      </c>
      <c r="E163">
        <v>0</v>
      </c>
      <c r="F163" t="s">
        <v>730</v>
      </c>
      <c r="G163" t="s">
        <v>1571</v>
      </c>
      <c r="H163" s="9">
        <v>208.33333333333334</v>
      </c>
      <c r="I163" s="8">
        <v>0</v>
      </c>
      <c r="J163" s="69"/>
      <c r="K163" t="s">
        <v>1571</v>
      </c>
    </row>
    <row r="164" spans="1:11" x14ac:dyDescent="0.25">
      <c r="A164" s="5" t="s">
        <v>22</v>
      </c>
      <c r="B164" t="s">
        <v>118</v>
      </c>
      <c r="C164" s="9" t="s">
        <v>1981</v>
      </c>
      <c r="D164" t="s">
        <v>731</v>
      </c>
      <c r="E164">
        <v>0</v>
      </c>
      <c r="F164" t="s">
        <v>730</v>
      </c>
      <c r="G164" t="s">
        <v>1571</v>
      </c>
      <c r="H164" s="9">
        <v>208.33333333333334</v>
      </c>
      <c r="I164" s="8">
        <v>0</v>
      </c>
      <c r="J164" s="69"/>
      <c r="K164" t="s">
        <v>1571</v>
      </c>
    </row>
    <row r="165" spans="1:11" x14ac:dyDescent="0.25">
      <c r="A165" s="5" t="s">
        <v>22</v>
      </c>
      <c r="B165" t="s">
        <v>118</v>
      </c>
      <c r="C165" s="9" t="s">
        <v>1981</v>
      </c>
      <c r="D165" t="s">
        <v>732</v>
      </c>
      <c r="E165">
        <v>0</v>
      </c>
      <c r="F165" t="s">
        <v>730</v>
      </c>
      <c r="G165" t="s">
        <v>1571</v>
      </c>
      <c r="H165" s="9">
        <v>208.33333333333334</v>
      </c>
      <c r="I165" s="8">
        <v>0</v>
      </c>
      <c r="J165" s="69"/>
      <c r="K165" t="s">
        <v>1571</v>
      </c>
    </row>
    <row r="166" spans="1:11" x14ac:dyDescent="0.25">
      <c r="A166" s="5" t="s">
        <v>22</v>
      </c>
      <c r="B166" t="s">
        <v>118</v>
      </c>
      <c r="C166" s="9" t="s">
        <v>1984</v>
      </c>
      <c r="D166" t="s">
        <v>838</v>
      </c>
      <c r="E166">
        <v>0</v>
      </c>
      <c r="F166" t="s">
        <v>839</v>
      </c>
      <c r="G166" t="s">
        <v>1571</v>
      </c>
      <c r="H166" s="9">
        <v>208.33333333333334</v>
      </c>
      <c r="I166" s="8">
        <v>0</v>
      </c>
      <c r="J166" s="69"/>
      <c r="K166" t="s">
        <v>1571</v>
      </c>
    </row>
    <row r="167" spans="1:11" x14ac:dyDescent="0.25">
      <c r="A167" s="5" t="s">
        <v>22</v>
      </c>
      <c r="B167" t="s">
        <v>118</v>
      </c>
      <c r="C167" s="9" t="s">
        <v>1985</v>
      </c>
      <c r="D167" t="s">
        <v>723</v>
      </c>
      <c r="E167">
        <v>0</v>
      </c>
      <c r="F167" t="s">
        <v>724</v>
      </c>
      <c r="G167" t="s">
        <v>1571</v>
      </c>
      <c r="H167" s="9" t="s">
        <v>66</v>
      </c>
      <c r="I167" s="8">
        <v>0</v>
      </c>
      <c r="J167" s="69"/>
      <c r="K167" t="s">
        <v>1571</v>
      </c>
    </row>
    <row r="168" spans="1:11" x14ac:dyDescent="0.25">
      <c r="A168" s="5" t="s">
        <v>22</v>
      </c>
      <c r="B168" t="s">
        <v>118</v>
      </c>
      <c r="C168" s="9">
        <v>2.1986111111111111</v>
      </c>
      <c r="D168" t="s">
        <v>183</v>
      </c>
      <c r="E168">
        <v>0</v>
      </c>
      <c r="F168" t="s">
        <v>184</v>
      </c>
      <c r="G168" t="s">
        <v>1571</v>
      </c>
      <c r="H168" s="9">
        <v>4.166666666666667</v>
      </c>
      <c r="I168" s="8">
        <v>0</v>
      </c>
      <c r="J168" s="69"/>
      <c r="K168" t="s">
        <v>1571</v>
      </c>
    </row>
    <row r="169" spans="1:11" x14ac:dyDescent="0.25">
      <c r="A169" s="5" t="s">
        <v>22</v>
      </c>
      <c r="B169" t="s">
        <v>118</v>
      </c>
      <c r="C169" s="9">
        <v>28.515972222222221</v>
      </c>
      <c r="D169" t="s">
        <v>391</v>
      </c>
      <c r="E169">
        <v>0</v>
      </c>
      <c r="F169" t="s">
        <v>392</v>
      </c>
      <c r="G169" t="s">
        <v>1571</v>
      </c>
      <c r="H169" s="9">
        <v>41.666666666666664</v>
      </c>
      <c r="I169" s="8">
        <v>0</v>
      </c>
      <c r="J169" s="69"/>
      <c r="K169" t="s">
        <v>1571</v>
      </c>
    </row>
    <row r="170" spans="1:11" x14ac:dyDescent="0.25">
      <c r="A170" s="5" t="s">
        <v>22</v>
      </c>
      <c r="B170" t="s">
        <v>118</v>
      </c>
      <c r="C170" s="9">
        <v>1.1152777777777778</v>
      </c>
      <c r="D170" t="s">
        <v>175</v>
      </c>
      <c r="E170">
        <v>0</v>
      </c>
      <c r="F170" t="s">
        <v>176</v>
      </c>
      <c r="G170" t="s">
        <v>1571</v>
      </c>
      <c r="H170" s="9">
        <v>4.166666666666667</v>
      </c>
      <c r="I170" s="8">
        <v>0</v>
      </c>
      <c r="J170" s="69"/>
      <c r="K170" t="s">
        <v>1571</v>
      </c>
    </row>
    <row r="171" spans="1:11" x14ac:dyDescent="0.25">
      <c r="A171" s="5" t="s">
        <v>22</v>
      </c>
      <c r="B171" t="s">
        <v>118</v>
      </c>
      <c r="C171" s="9">
        <v>9.1215277777777786</v>
      </c>
      <c r="D171" t="s">
        <v>260</v>
      </c>
      <c r="E171">
        <v>0</v>
      </c>
      <c r="F171" t="s">
        <v>261</v>
      </c>
      <c r="G171" t="s">
        <v>1571</v>
      </c>
      <c r="H171" s="9">
        <v>12.5</v>
      </c>
      <c r="I171" s="8">
        <v>0</v>
      </c>
      <c r="J171" s="69"/>
      <c r="K171" t="s">
        <v>1571</v>
      </c>
    </row>
    <row r="172" spans="1:11" x14ac:dyDescent="0.25">
      <c r="A172" s="5" t="s">
        <v>22</v>
      </c>
      <c r="B172" t="s">
        <v>118</v>
      </c>
      <c r="C172" s="9">
        <v>2.0833333333333335</v>
      </c>
      <c r="D172" t="s">
        <v>159</v>
      </c>
      <c r="E172">
        <v>0</v>
      </c>
      <c r="F172" t="s">
        <v>160</v>
      </c>
      <c r="G172" t="s">
        <v>1571</v>
      </c>
      <c r="H172" s="9">
        <v>2.0833333333333335</v>
      </c>
      <c r="I172" s="8">
        <v>0</v>
      </c>
      <c r="J172" s="69"/>
      <c r="K172" t="s">
        <v>1571</v>
      </c>
    </row>
    <row r="173" spans="1:11" x14ac:dyDescent="0.25">
      <c r="A173" s="5" t="s">
        <v>22</v>
      </c>
      <c r="B173" t="s">
        <v>118</v>
      </c>
      <c r="C173" s="9">
        <v>36.789583333333333</v>
      </c>
      <c r="D173" t="s">
        <v>406</v>
      </c>
      <c r="E173">
        <v>0</v>
      </c>
      <c r="F173" t="s">
        <v>407</v>
      </c>
      <c r="G173" t="s">
        <v>1571</v>
      </c>
      <c r="H173" s="9">
        <v>50</v>
      </c>
      <c r="I173" s="8">
        <v>0</v>
      </c>
      <c r="J173" s="69"/>
      <c r="K173" t="s">
        <v>1571</v>
      </c>
    </row>
    <row r="174" spans="1:11" x14ac:dyDescent="0.25">
      <c r="A174" s="5" t="s">
        <v>22</v>
      </c>
      <c r="B174" t="s">
        <v>118</v>
      </c>
      <c r="C174" s="9">
        <v>36.789583333333333</v>
      </c>
      <c r="D174" t="s">
        <v>408</v>
      </c>
      <c r="E174">
        <v>0</v>
      </c>
      <c r="F174" t="s">
        <v>409</v>
      </c>
      <c r="G174" t="s">
        <v>1571</v>
      </c>
      <c r="H174" s="9">
        <v>50</v>
      </c>
      <c r="I174" s="8">
        <v>0</v>
      </c>
      <c r="J174" s="69"/>
      <c r="K174" t="s">
        <v>1571</v>
      </c>
    </row>
    <row r="175" spans="1:11" x14ac:dyDescent="0.25">
      <c r="A175" s="5" t="s">
        <v>22</v>
      </c>
      <c r="B175" t="s">
        <v>118</v>
      </c>
      <c r="C175" s="9">
        <v>36.789583333333333</v>
      </c>
      <c r="D175" t="s">
        <v>410</v>
      </c>
      <c r="E175">
        <v>0</v>
      </c>
      <c r="F175" t="s">
        <v>411</v>
      </c>
      <c r="G175" t="s">
        <v>1571</v>
      </c>
      <c r="H175" s="9">
        <v>50</v>
      </c>
      <c r="I175" s="8">
        <v>0</v>
      </c>
      <c r="J175" s="69"/>
      <c r="K175" t="s">
        <v>1571</v>
      </c>
    </row>
    <row r="176" spans="1:11" x14ac:dyDescent="0.25">
      <c r="A176" s="5" t="s">
        <v>22</v>
      </c>
      <c r="B176" t="s">
        <v>118</v>
      </c>
      <c r="C176" s="9">
        <v>2.1986111111111111</v>
      </c>
      <c r="D176" t="s">
        <v>185</v>
      </c>
      <c r="E176">
        <v>0</v>
      </c>
      <c r="F176" t="s">
        <v>186</v>
      </c>
      <c r="G176" t="s">
        <v>1571</v>
      </c>
      <c r="H176" s="9">
        <v>4.166666666666667</v>
      </c>
      <c r="I176" s="8">
        <v>0</v>
      </c>
      <c r="J176" s="69"/>
      <c r="K176" t="s">
        <v>1571</v>
      </c>
    </row>
    <row r="177" spans="1:11" x14ac:dyDescent="0.25">
      <c r="A177" s="5" t="s">
        <v>22</v>
      </c>
      <c r="B177" t="s">
        <v>118</v>
      </c>
      <c r="C177" s="9">
        <v>17.228472222222223</v>
      </c>
      <c r="D177" t="s">
        <v>364</v>
      </c>
      <c r="E177">
        <v>0</v>
      </c>
      <c r="F177" t="s">
        <v>365</v>
      </c>
      <c r="G177" t="s">
        <v>1571</v>
      </c>
      <c r="H177" s="9">
        <v>25</v>
      </c>
      <c r="I177" s="8">
        <v>0</v>
      </c>
      <c r="J177" s="69"/>
      <c r="K177" t="s">
        <v>1571</v>
      </c>
    </row>
    <row r="178" spans="1:11" x14ac:dyDescent="0.25">
      <c r="A178" s="5" t="s">
        <v>22</v>
      </c>
      <c r="B178" t="s">
        <v>118</v>
      </c>
      <c r="C178" s="9">
        <v>36.789583333333333</v>
      </c>
      <c r="D178" t="s">
        <v>412</v>
      </c>
      <c r="E178">
        <v>0</v>
      </c>
      <c r="F178" t="s">
        <v>413</v>
      </c>
      <c r="G178" t="s">
        <v>1571</v>
      </c>
      <c r="H178" s="9">
        <v>50</v>
      </c>
      <c r="I178" s="8">
        <v>0</v>
      </c>
      <c r="J178" s="69"/>
      <c r="K178" t="s">
        <v>1571</v>
      </c>
    </row>
    <row r="179" spans="1:11" x14ac:dyDescent="0.25">
      <c r="A179" s="5" t="s">
        <v>22</v>
      </c>
      <c r="B179" t="s">
        <v>118</v>
      </c>
      <c r="C179" s="9">
        <v>35.584722222222226</v>
      </c>
      <c r="D179" t="s">
        <v>400</v>
      </c>
      <c r="E179">
        <v>0</v>
      </c>
      <c r="F179" t="s">
        <v>401</v>
      </c>
      <c r="G179" t="s">
        <v>1571</v>
      </c>
      <c r="H179" s="9">
        <v>37.5</v>
      </c>
      <c r="I179" s="8">
        <v>0</v>
      </c>
      <c r="J179" s="69"/>
      <c r="K179" t="s">
        <v>1571</v>
      </c>
    </row>
    <row r="180" spans="1:11" x14ac:dyDescent="0.25">
      <c r="A180" s="5" t="s">
        <v>22</v>
      </c>
      <c r="B180" t="s">
        <v>118</v>
      </c>
      <c r="C180" s="9">
        <v>2.1986111111111111</v>
      </c>
      <c r="D180" t="s">
        <v>187</v>
      </c>
      <c r="E180">
        <v>0</v>
      </c>
      <c r="F180" t="s">
        <v>188</v>
      </c>
      <c r="G180" t="s">
        <v>1571</v>
      </c>
      <c r="H180" s="9">
        <v>4.166666666666667</v>
      </c>
      <c r="I180" s="8">
        <v>0</v>
      </c>
      <c r="J180" s="69"/>
      <c r="K180" t="s">
        <v>1571</v>
      </c>
    </row>
    <row r="181" spans="1:11" x14ac:dyDescent="0.25">
      <c r="A181" s="5" t="s">
        <v>22</v>
      </c>
      <c r="B181" t="s">
        <v>118</v>
      </c>
      <c r="C181" s="9">
        <v>2.3729166666666668</v>
      </c>
      <c r="D181" t="s">
        <v>205</v>
      </c>
      <c r="E181">
        <v>0</v>
      </c>
      <c r="F181" t="s">
        <v>206</v>
      </c>
      <c r="G181" t="s">
        <v>1571</v>
      </c>
      <c r="H181" s="9">
        <v>4.166666666666667</v>
      </c>
      <c r="I181" s="8">
        <v>0</v>
      </c>
      <c r="J181" s="69"/>
      <c r="K181" t="s">
        <v>1571</v>
      </c>
    </row>
    <row r="182" spans="1:11" x14ac:dyDescent="0.25">
      <c r="A182" s="5" t="s">
        <v>22</v>
      </c>
      <c r="B182" t="s">
        <v>118</v>
      </c>
      <c r="C182" s="9">
        <v>6.1861111111111109</v>
      </c>
      <c r="D182" t="s">
        <v>239</v>
      </c>
      <c r="E182">
        <v>0</v>
      </c>
      <c r="F182" t="s">
        <v>240</v>
      </c>
      <c r="G182" t="s">
        <v>1571</v>
      </c>
      <c r="H182" s="9">
        <v>8.3333333333333339</v>
      </c>
      <c r="I182" s="8">
        <v>0</v>
      </c>
      <c r="J182" s="69"/>
      <c r="K182" t="s">
        <v>1571</v>
      </c>
    </row>
    <row r="183" spans="1:11" x14ac:dyDescent="0.25">
      <c r="A183" s="5" t="s">
        <v>22</v>
      </c>
      <c r="B183" t="s">
        <v>118</v>
      </c>
      <c r="C183" s="9">
        <v>14.877083333333333</v>
      </c>
      <c r="D183" t="s">
        <v>342</v>
      </c>
      <c r="E183">
        <v>0</v>
      </c>
      <c r="F183" t="s">
        <v>343</v>
      </c>
      <c r="G183" t="s">
        <v>1571</v>
      </c>
      <c r="H183" s="9">
        <v>33.333333333333336</v>
      </c>
      <c r="I183" s="8">
        <v>0</v>
      </c>
      <c r="J183" s="69"/>
      <c r="K183" t="s">
        <v>1571</v>
      </c>
    </row>
    <row r="184" spans="1:11" x14ac:dyDescent="0.25">
      <c r="A184" s="5" t="s">
        <v>22</v>
      </c>
      <c r="B184" t="s">
        <v>118</v>
      </c>
      <c r="C184" s="9">
        <v>17.186805555555555</v>
      </c>
      <c r="D184" t="s">
        <v>354</v>
      </c>
      <c r="E184">
        <v>0</v>
      </c>
      <c r="F184" t="s">
        <v>355</v>
      </c>
      <c r="G184" t="s">
        <v>1571</v>
      </c>
      <c r="H184" s="9">
        <v>25</v>
      </c>
      <c r="I184" s="8">
        <v>0</v>
      </c>
      <c r="J184" s="69"/>
      <c r="K184" t="s">
        <v>1571</v>
      </c>
    </row>
    <row r="185" spans="1:11" x14ac:dyDescent="0.25">
      <c r="A185" s="5" t="s">
        <v>22</v>
      </c>
      <c r="B185" t="s">
        <v>118</v>
      </c>
      <c r="C185" s="9">
        <v>3.5298611111111109</v>
      </c>
      <c r="D185" t="s">
        <v>215</v>
      </c>
      <c r="E185">
        <v>0</v>
      </c>
      <c r="F185" t="s">
        <v>216</v>
      </c>
      <c r="G185" t="s">
        <v>1571</v>
      </c>
      <c r="H185" s="9">
        <v>8.3333333333333339</v>
      </c>
      <c r="I185" s="8">
        <v>0</v>
      </c>
      <c r="J185" s="69"/>
      <c r="K185" t="s">
        <v>1571</v>
      </c>
    </row>
    <row r="186" spans="1:11" x14ac:dyDescent="0.25">
      <c r="A186" s="5" t="s">
        <v>22</v>
      </c>
      <c r="B186" t="s">
        <v>118</v>
      </c>
      <c r="C186" s="9">
        <v>6.1861111111111109</v>
      </c>
      <c r="D186" t="s">
        <v>241</v>
      </c>
      <c r="E186">
        <v>0</v>
      </c>
      <c r="F186" t="s">
        <v>242</v>
      </c>
      <c r="G186" t="s">
        <v>1571</v>
      </c>
      <c r="H186" s="9">
        <v>8.3333333333333339</v>
      </c>
      <c r="I186" s="8">
        <v>0</v>
      </c>
      <c r="J186" s="69"/>
      <c r="K186" t="s">
        <v>1571</v>
      </c>
    </row>
    <row r="187" spans="1:11" x14ac:dyDescent="0.25">
      <c r="A187" s="5" t="s">
        <v>22</v>
      </c>
      <c r="B187" t="s">
        <v>118</v>
      </c>
      <c r="C187" s="9">
        <v>14.877083333333333</v>
      </c>
      <c r="D187" t="s">
        <v>344</v>
      </c>
      <c r="E187">
        <v>0</v>
      </c>
      <c r="F187" t="s">
        <v>345</v>
      </c>
      <c r="G187" t="s">
        <v>1571</v>
      </c>
      <c r="H187" s="9">
        <v>33.333333333333336</v>
      </c>
      <c r="I187" s="8">
        <v>0</v>
      </c>
      <c r="J187" s="69"/>
      <c r="K187" t="s">
        <v>1571</v>
      </c>
    </row>
    <row r="188" spans="1:11" x14ac:dyDescent="0.25">
      <c r="A188" s="5" t="s">
        <v>22</v>
      </c>
      <c r="B188" t="s">
        <v>118</v>
      </c>
      <c r="C188" s="9">
        <v>17.186805555555555</v>
      </c>
      <c r="D188" t="s">
        <v>356</v>
      </c>
      <c r="E188">
        <v>0</v>
      </c>
      <c r="F188" t="s">
        <v>357</v>
      </c>
      <c r="G188" t="s">
        <v>1571</v>
      </c>
      <c r="H188" s="9">
        <v>25</v>
      </c>
      <c r="I188" s="8">
        <v>0</v>
      </c>
      <c r="J188" s="69"/>
      <c r="K188" t="s">
        <v>1571</v>
      </c>
    </row>
    <row r="189" spans="1:11" x14ac:dyDescent="0.25">
      <c r="A189" s="5" t="s">
        <v>22</v>
      </c>
      <c r="B189" t="s">
        <v>118</v>
      </c>
      <c r="C189" s="9">
        <v>3.5298611111111109</v>
      </c>
      <c r="D189" t="s">
        <v>217</v>
      </c>
      <c r="E189">
        <v>0</v>
      </c>
      <c r="F189" t="s">
        <v>218</v>
      </c>
      <c r="G189" t="s">
        <v>1571</v>
      </c>
      <c r="H189" s="9">
        <v>8.3333333333333339</v>
      </c>
      <c r="I189" s="8">
        <v>0</v>
      </c>
      <c r="J189" s="69"/>
      <c r="K189" t="s">
        <v>1571</v>
      </c>
    </row>
    <row r="190" spans="1:11" x14ac:dyDescent="0.25">
      <c r="A190" s="5" t="s">
        <v>22</v>
      </c>
      <c r="B190" t="s">
        <v>118</v>
      </c>
      <c r="C190" s="9">
        <v>11.789583333333333</v>
      </c>
      <c r="D190" t="s">
        <v>274</v>
      </c>
      <c r="E190">
        <v>0</v>
      </c>
      <c r="F190" t="s">
        <v>275</v>
      </c>
      <c r="G190" t="s">
        <v>1571</v>
      </c>
      <c r="H190" s="9">
        <v>25</v>
      </c>
      <c r="I190" s="8">
        <v>0</v>
      </c>
      <c r="J190" s="69"/>
      <c r="K190" t="s">
        <v>1571</v>
      </c>
    </row>
    <row r="191" spans="1:11" x14ac:dyDescent="0.25">
      <c r="A191" s="5" t="s">
        <v>22</v>
      </c>
      <c r="B191" t="s">
        <v>118</v>
      </c>
      <c r="C191" s="9">
        <v>11.789583333333333</v>
      </c>
      <c r="D191" t="s">
        <v>276</v>
      </c>
      <c r="E191">
        <v>0</v>
      </c>
      <c r="F191" t="s">
        <v>277</v>
      </c>
      <c r="G191" t="s">
        <v>1571</v>
      </c>
      <c r="H191" s="9">
        <v>25</v>
      </c>
      <c r="I191" s="8">
        <v>0</v>
      </c>
      <c r="J191" s="69"/>
      <c r="K191" t="s">
        <v>1571</v>
      </c>
    </row>
    <row r="192" spans="1:11" x14ac:dyDescent="0.25">
      <c r="A192" s="5" t="s">
        <v>22</v>
      </c>
      <c r="B192" t="s">
        <v>118</v>
      </c>
      <c r="C192" s="9">
        <v>2.1986111111111111</v>
      </c>
      <c r="D192" t="s">
        <v>189</v>
      </c>
      <c r="E192">
        <v>0</v>
      </c>
      <c r="F192" t="s">
        <v>190</v>
      </c>
      <c r="G192" t="s">
        <v>1571</v>
      </c>
      <c r="H192" s="9">
        <v>4.166666666666667</v>
      </c>
      <c r="I192" s="8">
        <v>0</v>
      </c>
      <c r="J192" s="69"/>
      <c r="K192" t="s">
        <v>1571</v>
      </c>
    </row>
    <row r="193" spans="1:11" x14ac:dyDescent="0.25">
      <c r="A193" s="5" t="s">
        <v>22</v>
      </c>
      <c r="B193" t="s">
        <v>118</v>
      </c>
      <c r="C193" s="9">
        <v>23.084722222222222</v>
      </c>
      <c r="D193" t="s">
        <v>374</v>
      </c>
      <c r="E193">
        <v>0</v>
      </c>
      <c r="F193" t="s">
        <v>375</v>
      </c>
      <c r="G193" t="s">
        <v>1571</v>
      </c>
      <c r="H193" s="9">
        <v>25</v>
      </c>
      <c r="I193" s="8">
        <v>0</v>
      </c>
      <c r="J193" s="69"/>
      <c r="K193" t="s">
        <v>1571</v>
      </c>
    </row>
    <row r="194" spans="1:11" x14ac:dyDescent="0.25">
      <c r="A194" s="5" t="s">
        <v>22</v>
      </c>
      <c r="B194" t="s">
        <v>118</v>
      </c>
      <c r="C194" s="9">
        <v>4.2819444444444441</v>
      </c>
      <c r="D194" t="s">
        <v>226</v>
      </c>
      <c r="E194">
        <v>0</v>
      </c>
      <c r="F194" t="s">
        <v>227</v>
      </c>
      <c r="G194" t="s">
        <v>1571</v>
      </c>
      <c r="H194" s="9">
        <v>6.25</v>
      </c>
      <c r="I194" s="8">
        <v>0</v>
      </c>
      <c r="J194" s="69"/>
      <c r="K194" t="s">
        <v>1571</v>
      </c>
    </row>
    <row r="195" spans="1:11" x14ac:dyDescent="0.25">
      <c r="A195" s="5" t="s">
        <v>22</v>
      </c>
      <c r="B195" t="s">
        <v>118</v>
      </c>
      <c r="C195" s="9">
        <v>11.716666666666667</v>
      </c>
      <c r="D195" t="s">
        <v>134</v>
      </c>
      <c r="E195">
        <v>0</v>
      </c>
      <c r="F195" t="s">
        <v>135</v>
      </c>
      <c r="G195" t="s">
        <v>1571</v>
      </c>
      <c r="H195" s="9">
        <v>12.5</v>
      </c>
      <c r="I195" s="8">
        <v>0</v>
      </c>
      <c r="J195" s="69"/>
      <c r="K195" t="s">
        <v>1571</v>
      </c>
    </row>
    <row r="196" spans="1:11" x14ac:dyDescent="0.25">
      <c r="A196" s="5" t="s">
        <v>22</v>
      </c>
      <c r="B196" t="s">
        <v>118</v>
      </c>
      <c r="C196" s="9">
        <v>5.4666666666666668</v>
      </c>
      <c r="D196" t="s">
        <v>144</v>
      </c>
      <c r="E196">
        <v>0</v>
      </c>
      <c r="F196" t="s">
        <v>145</v>
      </c>
      <c r="G196" t="s">
        <v>1571</v>
      </c>
      <c r="H196" s="9">
        <v>6.25</v>
      </c>
      <c r="I196" s="8">
        <v>0</v>
      </c>
      <c r="J196" s="69"/>
      <c r="K196" t="s">
        <v>1571</v>
      </c>
    </row>
    <row r="197" spans="1:11" x14ac:dyDescent="0.25">
      <c r="A197" s="5" t="s">
        <v>22</v>
      </c>
      <c r="B197" t="s">
        <v>118</v>
      </c>
      <c r="C197" s="9">
        <v>5.4666666666666668</v>
      </c>
      <c r="D197" t="s">
        <v>146</v>
      </c>
      <c r="E197">
        <v>0</v>
      </c>
      <c r="F197" t="s">
        <v>1834</v>
      </c>
      <c r="G197" t="s">
        <v>1571</v>
      </c>
      <c r="H197" s="9">
        <v>6.25</v>
      </c>
      <c r="I197" s="8">
        <v>0</v>
      </c>
      <c r="J197" s="69"/>
      <c r="K197" t="s">
        <v>1571</v>
      </c>
    </row>
    <row r="198" spans="1:11" x14ac:dyDescent="0.25">
      <c r="A198" s="5" t="s">
        <v>22</v>
      </c>
      <c r="B198" t="s">
        <v>118</v>
      </c>
      <c r="C198" s="9">
        <v>9.1215277777777786</v>
      </c>
      <c r="D198" t="s">
        <v>262</v>
      </c>
      <c r="E198">
        <v>0</v>
      </c>
      <c r="F198" t="s">
        <v>263</v>
      </c>
      <c r="G198" t="s">
        <v>1571</v>
      </c>
      <c r="H198" s="9">
        <v>12.5</v>
      </c>
      <c r="I198" s="8">
        <v>0</v>
      </c>
      <c r="J198" s="69"/>
      <c r="K198" t="s">
        <v>1571</v>
      </c>
    </row>
    <row r="199" spans="1:11" x14ac:dyDescent="0.25">
      <c r="A199" s="5" t="s">
        <v>22</v>
      </c>
      <c r="B199" t="s">
        <v>118</v>
      </c>
      <c r="C199" s="9">
        <v>9.1215277777777786</v>
      </c>
      <c r="D199" t="s">
        <v>264</v>
      </c>
      <c r="E199">
        <v>0</v>
      </c>
      <c r="F199" t="s">
        <v>265</v>
      </c>
      <c r="G199" t="s">
        <v>1571</v>
      </c>
      <c r="H199" s="9">
        <v>12.5</v>
      </c>
      <c r="I199" s="8">
        <v>0</v>
      </c>
      <c r="J199" s="69"/>
      <c r="K199" t="s">
        <v>1571</v>
      </c>
    </row>
    <row r="200" spans="1:11" x14ac:dyDescent="0.25">
      <c r="A200" s="5" t="s">
        <v>22</v>
      </c>
      <c r="B200" t="s">
        <v>118</v>
      </c>
      <c r="C200" s="9">
        <v>36.645138888888887</v>
      </c>
      <c r="D200" t="s">
        <v>366</v>
      </c>
      <c r="E200">
        <v>0</v>
      </c>
      <c r="F200" t="s">
        <v>367</v>
      </c>
      <c r="G200" t="s">
        <v>1571</v>
      </c>
      <c r="H200" s="9">
        <v>44.416666666666664</v>
      </c>
      <c r="I200" s="8">
        <v>0</v>
      </c>
      <c r="J200" s="69"/>
      <c r="K200" t="s">
        <v>1571</v>
      </c>
    </row>
    <row r="201" spans="1:11" x14ac:dyDescent="0.25">
      <c r="A201" s="5" t="s">
        <v>22</v>
      </c>
      <c r="B201" t="s">
        <v>118</v>
      </c>
      <c r="C201" s="9">
        <v>36.789583333333333</v>
      </c>
      <c r="D201" t="s">
        <v>414</v>
      </c>
      <c r="E201">
        <v>0</v>
      </c>
      <c r="F201" t="s">
        <v>415</v>
      </c>
      <c r="G201" t="s">
        <v>1571</v>
      </c>
      <c r="H201" s="9">
        <v>50</v>
      </c>
      <c r="I201" s="8">
        <v>0</v>
      </c>
      <c r="J201" s="69"/>
      <c r="K201" t="s">
        <v>1571</v>
      </c>
    </row>
    <row r="202" spans="1:11" x14ac:dyDescent="0.25">
      <c r="A202" s="5" t="s">
        <v>22</v>
      </c>
      <c r="B202" t="s">
        <v>118</v>
      </c>
      <c r="C202" s="9">
        <v>11.789583333333333</v>
      </c>
      <c r="D202" t="s">
        <v>278</v>
      </c>
      <c r="E202">
        <v>0</v>
      </c>
      <c r="F202" t="s">
        <v>279</v>
      </c>
      <c r="G202" t="s">
        <v>1571</v>
      </c>
      <c r="H202" s="9">
        <v>25</v>
      </c>
      <c r="I202" s="8">
        <v>0</v>
      </c>
      <c r="J202" s="69"/>
      <c r="K202" t="s">
        <v>1571</v>
      </c>
    </row>
    <row r="203" spans="1:11" x14ac:dyDescent="0.25">
      <c r="A203" s="5" t="s">
        <v>22</v>
      </c>
      <c r="B203" t="s">
        <v>118</v>
      </c>
      <c r="C203" s="9">
        <v>11.789583333333333</v>
      </c>
      <c r="D203" t="s">
        <v>280</v>
      </c>
      <c r="E203">
        <v>0</v>
      </c>
      <c r="F203" t="s">
        <v>281</v>
      </c>
      <c r="G203" t="s">
        <v>1571</v>
      </c>
      <c r="H203" s="9">
        <v>25</v>
      </c>
      <c r="I203" s="8">
        <v>0</v>
      </c>
      <c r="J203" s="69"/>
      <c r="K203" t="s">
        <v>1571</v>
      </c>
    </row>
    <row r="204" spans="1:11" x14ac:dyDescent="0.25">
      <c r="A204" s="5" t="s">
        <v>22</v>
      </c>
      <c r="B204" t="s">
        <v>118</v>
      </c>
      <c r="C204" s="9">
        <v>36.789583333333333</v>
      </c>
      <c r="D204" t="s">
        <v>282</v>
      </c>
      <c r="E204">
        <v>0</v>
      </c>
      <c r="F204" t="s">
        <v>283</v>
      </c>
      <c r="G204" t="s">
        <v>1571</v>
      </c>
      <c r="H204" s="9">
        <v>50</v>
      </c>
      <c r="I204" s="8">
        <v>0</v>
      </c>
      <c r="J204" s="69"/>
      <c r="K204" t="s">
        <v>1571</v>
      </c>
    </row>
    <row r="205" spans="1:11" x14ac:dyDescent="0.25">
      <c r="A205" s="5" t="s">
        <v>22</v>
      </c>
      <c r="B205" t="s">
        <v>118</v>
      </c>
      <c r="C205" s="9">
        <v>36.603472222222223</v>
      </c>
      <c r="D205" t="s">
        <v>358</v>
      </c>
      <c r="E205">
        <v>0</v>
      </c>
      <c r="F205" t="s">
        <v>359</v>
      </c>
      <c r="G205" t="s">
        <v>1571</v>
      </c>
      <c r="H205" s="9">
        <v>44.416666666666664</v>
      </c>
      <c r="I205" s="8">
        <v>0</v>
      </c>
      <c r="J205" s="69"/>
      <c r="K205" t="s">
        <v>1571</v>
      </c>
    </row>
    <row r="206" spans="1:11" x14ac:dyDescent="0.25">
      <c r="A206" s="5" t="s">
        <v>22</v>
      </c>
      <c r="B206" t="s">
        <v>118</v>
      </c>
      <c r="C206" s="9">
        <v>34.12361111111111</v>
      </c>
      <c r="D206" t="s">
        <v>387</v>
      </c>
      <c r="E206">
        <v>0</v>
      </c>
      <c r="F206" t="s">
        <v>388</v>
      </c>
      <c r="G206" t="s">
        <v>1571</v>
      </c>
      <c r="H206" s="9">
        <v>44.416666666666664</v>
      </c>
      <c r="I206" s="8">
        <v>0</v>
      </c>
      <c r="J206" s="69"/>
      <c r="K206" t="s">
        <v>1571</v>
      </c>
    </row>
    <row r="207" spans="1:11" x14ac:dyDescent="0.25">
      <c r="A207" s="5" t="s">
        <v>22</v>
      </c>
      <c r="B207" t="s">
        <v>118</v>
      </c>
      <c r="C207" s="9">
        <v>11.670138888888889</v>
      </c>
      <c r="D207" t="s">
        <v>272</v>
      </c>
      <c r="E207">
        <v>0</v>
      </c>
      <c r="F207" t="s">
        <v>273</v>
      </c>
      <c r="G207" t="s">
        <v>1571</v>
      </c>
      <c r="H207" s="9">
        <v>50</v>
      </c>
      <c r="I207" s="8">
        <v>0</v>
      </c>
      <c r="J207" s="69"/>
      <c r="K207" t="s">
        <v>1571</v>
      </c>
    </row>
    <row r="208" spans="1:11" x14ac:dyDescent="0.25">
      <c r="A208" s="5" t="s">
        <v>22</v>
      </c>
      <c r="B208" t="s">
        <v>118</v>
      </c>
      <c r="C208" s="9">
        <v>11.789583333333333</v>
      </c>
      <c r="D208" t="s">
        <v>284</v>
      </c>
      <c r="E208">
        <v>0</v>
      </c>
      <c r="F208" t="s">
        <v>285</v>
      </c>
      <c r="G208" t="s">
        <v>1571</v>
      </c>
      <c r="H208" s="9">
        <v>25</v>
      </c>
      <c r="I208" s="8">
        <v>0</v>
      </c>
      <c r="J208" s="69"/>
      <c r="K208" t="s">
        <v>1571</v>
      </c>
    </row>
    <row r="209" spans="1:11" x14ac:dyDescent="0.25">
      <c r="A209" s="5" t="s">
        <v>22</v>
      </c>
      <c r="B209" t="s">
        <v>118</v>
      </c>
      <c r="C209" s="9">
        <v>31.206250000000001</v>
      </c>
      <c r="D209" t="s">
        <v>286</v>
      </c>
      <c r="E209">
        <v>0</v>
      </c>
      <c r="F209" t="s">
        <v>287</v>
      </c>
      <c r="G209" t="s">
        <v>1571</v>
      </c>
      <c r="H209" s="9">
        <v>44.416666666666664</v>
      </c>
      <c r="I209" s="8">
        <v>0</v>
      </c>
      <c r="J209" s="69"/>
      <c r="K209" t="s">
        <v>1571</v>
      </c>
    </row>
    <row r="210" spans="1:11" x14ac:dyDescent="0.25">
      <c r="A210" s="5" t="s">
        <v>22</v>
      </c>
      <c r="B210" t="s">
        <v>118</v>
      </c>
      <c r="C210" s="9">
        <v>17.186805555555555</v>
      </c>
      <c r="D210" t="s">
        <v>360</v>
      </c>
      <c r="E210">
        <v>0</v>
      </c>
      <c r="F210" t="s">
        <v>361</v>
      </c>
      <c r="G210" t="s">
        <v>1571</v>
      </c>
      <c r="H210" s="9">
        <v>25</v>
      </c>
      <c r="I210" s="8">
        <v>0</v>
      </c>
      <c r="J210" s="69"/>
      <c r="K210" t="s">
        <v>1571</v>
      </c>
    </row>
    <row r="211" spans="1:11" x14ac:dyDescent="0.25">
      <c r="A211" s="5" t="s">
        <v>22</v>
      </c>
      <c r="B211" t="s">
        <v>118</v>
      </c>
      <c r="C211" s="9">
        <v>11.789583333333333</v>
      </c>
      <c r="D211" t="s">
        <v>288</v>
      </c>
      <c r="E211">
        <v>0</v>
      </c>
      <c r="F211" t="s">
        <v>289</v>
      </c>
      <c r="G211" t="s">
        <v>1571</v>
      </c>
      <c r="H211" s="9">
        <v>25</v>
      </c>
      <c r="I211" s="8">
        <v>0</v>
      </c>
      <c r="J211" s="69"/>
      <c r="K211" t="s">
        <v>1571</v>
      </c>
    </row>
    <row r="212" spans="1:11" x14ac:dyDescent="0.25">
      <c r="A212" s="5" t="s">
        <v>22</v>
      </c>
      <c r="B212" t="s">
        <v>118</v>
      </c>
      <c r="C212" s="9">
        <v>2.1986111111111111</v>
      </c>
      <c r="D212" t="s">
        <v>191</v>
      </c>
      <c r="E212">
        <v>0</v>
      </c>
      <c r="F212" t="s">
        <v>192</v>
      </c>
      <c r="G212" t="s">
        <v>1571</v>
      </c>
      <c r="H212" s="9">
        <v>4.166666666666667</v>
      </c>
      <c r="I212" s="8">
        <v>0</v>
      </c>
      <c r="J212" s="69"/>
      <c r="K212" t="s">
        <v>1571</v>
      </c>
    </row>
    <row r="213" spans="1:11" x14ac:dyDescent="0.25">
      <c r="A213" s="5" t="s">
        <v>22</v>
      </c>
      <c r="B213" t="s">
        <v>118</v>
      </c>
      <c r="C213" s="9">
        <v>31.206250000000001</v>
      </c>
      <c r="D213" t="s">
        <v>290</v>
      </c>
      <c r="E213">
        <v>0</v>
      </c>
      <c r="F213" t="s">
        <v>291</v>
      </c>
      <c r="G213" t="s">
        <v>1571</v>
      </c>
      <c r="H213" s="9">
        <v>44.416666666666664</v>
      </c>
      <c r="I213" s="8">
        <v>0</v>
      </c>
      <c r="J213" s="69"/>
      <c r="K213" t="s">
        <v>1571</v>
      </c>
    </row>
    <row r="214" spans="1:11" x14ac:dyDescent="0.25">
      <c r="A214" s="5" t="s">
        <v>22</v>
      </c>
      <c r="B214" t="s">
        <v>118</v>
      </c>
      <c r="C214" s="9">
        <v>31.206250000000001</v>
      </c>
      <c r="D214" t="s">
        <v>292</v>
      </c>
      <c r="E214">
        <v>0</v>
      </c>
      <c r="F214" t="s">
        <v>293</v>
      </c>
      <c r="G214" t="s">
        <v>1571</v>
      </c>
      <c r="H214" s="9">
        <v>44.416666666666664</v>
      </c>
      <c r="I214" s="8">
        <v>0</v>
      </c>
      <c r="J214" s="69"/>
      <c r="K214" t="s">
        <v>1571</v>
      </c>
    </row>
    <row r="215" spans="1:11" x14ac:dyDescent="0.25">
      <c r="A215" s="5" t="s">
        <v>22</v>
      </c>
      <c r="B215" t="s">
        <v>118</v>
      </c>
      <c r="C215" s="9">
        <v>36.789583333333333</v>
      </c>
      <c r="D215" t="s">
        <v>294</v>
      </c>
      <c r="E215">
        <v>0</v>
      </c>
      <c r="F215" t="s">
        <v>295</v>
      </c>
      <c r="G215" t="s">
        <v>1571</v>
      </c>
      <c r="H215" s="9">
        <v>50</v>
      </c>
      <c r="I215" s="8">
        <v>0</v>
      </c>
      <c r="J215" s="69"/>
      <c r="K215" t="s">
        <v>1571</v>
      </c>
    </row>
    <row r="216" spans="1:11" x14ac:dyDescent="0.25">
      <c r="A216" s="5" t="s">
        <v>22</v>
      </c>
      <c r="B216" t="s">
        <v>118</v>
      </c>
      <c r="C216" s="9">
        <v>17.186805555555555</v>
      </c>
      <c r="D216" t="s">
        <v>362</v>
      </c>
      <c r="E216">
        <v>0</v>
      </c>
      <c r="F216" t="s">
        <v>363</v>
      </c>
      <c r="G216" t="s">
        <v>1571</v>
      </c>
      <c r="H216" s="9">
        <v>25</v>
      </c>
      <c r="I216" s="8">
        <v>0</v>
      </c>
      <c r="J216" s="69"/>
      <c r="K216" t="s">
        <v>1571</v>
      </c>
    </row>
    <row r="217" spans="1:11" x14ac:dyDescent="0.25">
      <c r="A217" s="5" t="s">
        <v>22</v>
      </c>
      <c r="B217" t="s">
        <v>118</v>
      </c>
      <c r="C217" s="9">
        <v>11.789583333333333</v>
      </c>
      <c r="D217" t="s">
        <v>296</v>
      </c>
      <c r="E217">
        <v>0</v>
      </c>
      <c r="F217" t="s">
        <v>297</v>
      </c>
      <c r="G217" t="s">
        <v>1571</v>
      </c>
      <c r="H217" s="9">
        <v>25</v>
      </c>
      <c r="I217" s="8">
        <v>0</v>
      </c>
      <c r="J217" s="69"/>
      <c r="K217" t="s">
        <v>1571</v>
      </c>
    </row>
    <row r="218" spans="1:11" x14ac:dyDescent="0.25">
      <c r="A218" s="5" t="s">
        <v>22</v>
      </c>
      <c r="B218" t="s">
        <v>118</v>
      </c>
      <c r="C218" s="9">
        <v>11.789583333333333</v>
      </c>
      <c r="D218" t="s">
        <v>298</v>
      </c>
      <c r="E218">
        <v>0</v>
      </c>
      <c r="F218" t="s">
        <v>299</v>
      </c>
      <c r="G218" t="s">
        <v>1571</v>
      </c>
      <c r="H218" s="9">
        <v>25</v>
      </c>
      <c r="I218" s="8">
        <v>0</v>
      </c>
      <c r="J218" s="69"/>
      <c r="K218" t="s">
        <v>1571</v>
      </c>
    </row>
    <row r="219" spans="1:11" x14ac:dyDescent="0.25">
      <c r="A219" s="5" t="s">
        <v>22</v>
      </c>
      <c r="B219" t="s">
        <v>118</v>
      </c>
      <c r="C219" s="9">
        <v>11.789583333333333</v>
      </c>
      <c r="D219" t="s">
        <v>300</v>
      </c>
      <c r="E219">
        <v>0</v>
      </c>
      <c r="F219" t="s">
        <v>301</v>
      </c>
      <c r="G219" t="s">
        <v>1571</v>
      </c>
      <c r="H219" s="9">
        <v>25</v>
      </c>
      <c r="I219" s="8">
        <v>0</v>
      </c>
      <c r="J219" s="69"/>
      <c r="K219" t="s">
        <v>1571</v>
      </c>
    </row>
    <row r="220" spans="1:11" x14ac:dyDescent="0.25">
      <c r="A220" s="5" t="s">
        <v>22</v>
      </c>
      <c r="B220" t="s">
        <v>118</v>
      </c>
      <c r="C220" s="9">
        <v>11.789583333333333</v>
      </c>
      <c r="D220" t="s">
        <v>302</v>
      </c>
      <c r="E220">
        <v>0</v>
      </c>
      <c r="F220" t="s">
        <v>303</v>
      </c>
      <c r="G220" t="s">
        <v>1571</v>
      </c>
      <c r="H220" s="9">
        <v>25</v>
      </c>
      <c r="I220" s="8">
        <v>0</v>
      </c>
      <c r="J220" s="69"/>
      <c r="K220" t="s">
        <v>1571</v>
      </c>
    </row>
    <row r="221" spans="1:11" x14ac:dyDescent="0.25">
      <c r="A221" s="5" t="s">
        <v>22</v>
      </c>
      <c r="B221" t="s">
        <v>118</v>
      </c>
      <c r="C221" s="9">
        <v>11.789583333333333</v>
      </c>
      <c r="D221" t="s">
        <v>304</v>
      </c>
      <c r="E221">
        <v>0</v>
      </c>
      <c r="F221" t="s">
        <v>305</v>
      </c>
      <c r="G221" t="s">
        <v>1571</v>
      </c>
      <c r="H221" s="9">
        <v>25</v>
      </c>
      <c r="I221" s="8">
        <v>0</v>
      </c>
      <c r="J221" s="69"/>
      <c r="K221" t="s">
        <v>1571</v>
      </c>
    </row>
    <row r="222" spans="1:11" x14ac:dyDescent="0.25">
      <c r="A222" s="5" t="s">
        <v>22</v>
      </c>
      <c r="B222" t="s">
        <v>118</v>
      </c>
      <c r="C222" s="9">
        <v>11.789583333333333</v>
      </c>
      <c r="D222" t="s">
        <v>306</v>
      </c>
      <c r="E222">
        <v>0</v>
      </c>
      <c r="F222" t="s">
        <v>307</v>
      </c>
      <c r="G222" t="s">
        <v>1571</v>
      </c>
      <c r="H222" s="9">
        <v>25</v>
      </c>
      <c r="I222" s="8">
        <v>0</v>
      </c>
      <c r="J222" s="69"/>
      <c r="K222" t="s">
        <v>1571</v>
      </c>
    </row>
    <row r="223" spans="1:11" x14ac:dyDescent="0.25">
      <c r="A223" s="5" t="s">
        <v>22</v>
      </c>
      <c r="B223" t="s">
        <v>118</v>
      </c>
      <c r="C223" s="9">
        <v>11.789583333333333</v>
      </c>
      <c r="D223" t="s">
        <v>308</v>
      </c>
      <c r="E223">
        <v>0</v>
      </c>
      <c r="F223" t="s">
        <v>309</v>
      </c>
      <c r="G223" t="s">
        <v>1571</v>
      </c>
      <c r="H223" s="9">
        <v>25</v>
      </c>
      <c r="I223" s="8">
        <v>0</v>
      </c>
      <c r="J223" s="69"/>
      <c r="K223" t="s">
        <v>1571</v>
      </c>
    </row>
    <row r="224" spans="1:11" x14ac:dyDescent="0.25">
      <c r="A224" s="5" t="s">
        <v>22</v>
      </c>
      <c r="B224" t="s">
        <v>118</v>
      </c>
      <c r="C224" s="9">
        <v>2.1986111111111111</v>
      </c>
      <c r="D224" t="s">
        <v>193</v>
      </c>
      <c r="E224">
        <v>0</v>
      </c>
      <c r="F224" t="s">
        <v>194</v>
      </c>
      <c r="G224" t="s">
        <v>1571</v>
      </c>
      <c r="H224" s="9">
        <v>4.166666666666667</v>
      </c>
      <c r="I224" s="8">
        <v>0</v>
      </c>
      <c r="J224" s="69"/>
      <c r="K224" t="s">
        <v>1571</v>
      </c>
    </row>
    <row r="225" spans="1:11" x14ac:dyDescent="0.25">
      <c r="A225" s="5" t="s">
        <v>22</v>
      </c>
      <c r="B225" t="s">
        <v>118</v>
      </c>
      <c r="C225" s="9">
        <v>2.1986111111111111</v>
      </c>
      <c r="D225" t="s">
        <v>195</v>
      </c>
      <c r="E225">
        <v>0</v>
      </c>
      <c r="F225" t="s">
        <v>196</v>
      </c>
      <c r="G225" t="s">
        <v>1571</v>
      </c>
      <c r="H225" s="9">
        <v>4.166666666666667</v>
      </c>
      <c r="I225" s="8">
        <v>0</v>
      </c>
      <c r="J225" s="69"/>
      <c r="K225" t="s">
        <v>1571</v>
      </c>
    </row>
    <row r="226" spans="1:11" x14ac:dyDescent="0.25">
      <c r="A226" s="5" t="s">
        <v>22</v>
      </c>
      <c r="B226" t="s">
        <v>118</v>
      </c>
      <c r="C226" s="9">
        <v>2.3729166666666668</v>
      </c>
      <c r="D226" t="s">
        <v>207</v>
      </c>
      <c r="E226">
        <v>0</v>
      </c>
      <c r="F226" t="s">
        <v>208</v>
      </c>
      <c r="G226" t="s">
        <v>1571</v>
      </c>
      <c r="H226" s="9">
        <v>4.166666666666667</v>
      </c>
      <c r="I226" s="8">
        <v>0</v>
      </c>
      <c r="J226" s="69"/>
      <c r="K226" t="s">
        <v>1571</v>
      </c>
    </row>
    <row r="227" spans="1:11" x14ac:dyDescent="0.25">
      <c r="A227" s="5" t="s">
        <v>22</v>
      </c>
      <c r="B227" t="s">
        <v>118</v>
      </c>
      <c r="C227" s="9">
        <v>11.789583333333333</v>
      </c>
      <c r="D227" t="s">
        <v>310</v>
      </c>
      <c r="E227">
        <v>0</v>
      </c>
      <c r="F227" t="s">
        <v>311</v>
      </c>
      <c r="G227" t="s">
        <v>1571</v>
      </c>
      <c r="H227" s="9">
        <v>25</v>
      </c>
      <c r="I227" s="8">
        <v>0</v>
      </c>
      <c r="J227" s="69"/>
      <c r="K227" t="s">
        <v>1571</v>
      </c>
    </row>
    <row r="228" spans="1:11" x14ac:dyDescent="0.25">
      <c r="A228" s="5" t="s">
        <v>22</v>
      </c>
      <c r="B228" t="s">
        <v>118</v>
      </c>
      <c r="C228" s="9">
        <v>9.4486111111111111</v>
      </c>
      <c r="D228" t="s">
        <v>266</v>
      </c>
      <c r="E228">
        <v>0</v>
      </c>
      <c r="F228" t="s">
        <v>267</v>
      </c>
      <c r="G228" t="s">
        <v>1571</v>
      </c>
      <c r="H228" s="9">
        <v>12.5</v>
      </c>
      <c r="I228" s="8">
        <v>0</v>
      </c>
      <c r="J228" s="69"/>
      <c r="K228" t="s">
        <v>1571</v>
      </c>
    </row>
    <row r="229" spans="1:11" x14ac:dyDescent="0.25">
      <c r="A229" s="5" t="s">
        <v>22</v>
      </c>
      <c r="B229" t="s">
        <v>118</v>
      </c>
      <c r="C229" s="9">
        <v>24.289583333333333</v>
      </c>
      <c r="D229" t="s">
        <v>385</v>
      </c>
      <c r="E229">
        <v>0</v>
      </c>
      <c r="F229" t="s">
        <v>386</v>
      </c>
      <c r="G229" t="s">
        <v>1571</v>
      </c>
      <c r="H229" s="9">
        <v>37.5</v>
      </c>
      <c r="I229" s="8">
        <v>0</v>
      </c>
      <c r="J229" s="69"/>
      <c r="K229" t="s">
        <v>1571</v>
      </c>
    </row>
    <row r="230" spans="1:11" x14ac:dyDescent="0.25">
      <c r="A230" s="5" t="s">
        <v>22</v>
      </c>
      <c r="B230" t="s">
        <v>118</v>
      </c>
      <c r="C230" s="9">
        <v>11.716666666666667</v>
      </c>
      <c r="D230" t="s">
        <v>136</v>
      </c>
      <c r="E230">
        <v>0</v>
      </c>
      <c r="F230" t="s">
        <v>137</v>
      </c>
      <c r="G230" t="s">
        <v>1571</v>
      </c>
      <c r="H230" s="9">
        <v>12.5</v>
      </c>
      <c r="I230" s="8">
        <v>0</v>
      </c>
      <c r="J230" s="69"/>
      <c r="K230" t="s">
        <v>1571</v>
      </c>
    </row>
    <row r="231" spans="1:11" x14ac:dyDescent="0.25">
      <c r="A231" s="5" t="s">
        <v>22</v>
      </c>
      <c r="B231" t="s">
        <v>118</v>
      </c>
      <c r="C231" s="9">
        <v>4.2819444444444441</v>
      </c>
      <c r="D231" t="s">
        <v>228</v>
      </c>
      <c r="E231">
        <v>0</v>
      </c>
      <c r="F231" t="s">
        <v>229</v>
      </c>
      <c r="G231" t="s">
        <v>1571</v>
      </c>
      <c r="H231" s="9">
        <v>6.25</v>
      </c>
      <c r="I231" s="8">
        <v>0</v>
      </c>
      <c r="J231" s="69"/>
      <c r="K231" t="s">
        <v>1571</v>
      </c>
    </row>
    <row r="232" spans="1:11" x14ac:dyDescent="0.25">
      <c r="A232" s="5" t="s">
        <v>22</v>
      </c>
      <c r="B232" t="s">
        <v>118</v>
      </c>
      <c r="C232" s="9">
        <v>11.789583333333333</v>
      </c>
      <c r="D232" t="s">
        <v>312</v>
      </c>
      <c r="E232">
        <v>0</v>
      </c>
      <c r="F232" t="s">
        <v>313</v>
      </c>
      <c r="G232" t="s">
        <v>1571</v>
      </c>
      <c r="H232" s="9">
        <v>25</v>
      </c>
      <c r="I232" s="8">
        <v>0</v>
      </c>
      <c r="J232" s="69"/>
      <c r="K232" t="s">
        <v>1571</v>
      </c>
    </row>
    <row r="233" spans="1:11" x14ac:dyDescent="0.25">
      <c r="A233" s="5" t="s">
        <v>22</v>
      </c>
      <c r="B233" t="s">
        <v>118</v>
      </c>
      <c r="C233" s="9">
        <v>13.126388888888888</v>
      </c>
      <c r="D233" t="s">
        <v>322</v>
      </c>
      <c r="E233">
        <v>0</v>
      </c>
      <c r="F233" t="s">
        <v>323</v>
      </c>
      <c r="G233" t="s">
        <v>1571</v>
      </c>
      <c r="H233" s="9">
        <v>25</v>
      </c>
      <c r="I233" s="8">
        <v>0</v>
      </c>
      <c r="J233" s="69"/>
      <c r="K233" t="s">
        <v>1571</v>
      </c>
    </row>
    <row r="234" spans="1:11" x14ac:dyDescent="0.25">
      <c r="A234" s="5" t="s">
        <v>22</v>
      </c>
      <c r="B234" t="s">
        <v>118</v>
      </c>
      <c r="C234" s="9">
        <v>11.789583333333333</v>
      </c>
      <c r="D234" t="s">
        <v>314</v>
      </c>
      <c r="E234">
        <v>0</v>
      </c>
      <c r="F234" t="s">
        <v>315</v>
      </c>
      <c r="G234" t="s">
        <v>1571</v>
      </c>
      <c r="H234" s="9">
        <v>25</v>
      </c>
      <c r="I234" s="8">
        <v>0</v>
      </c>
      <c r="J234" s="69"/>
      <c r="K234" t="s">
        <v>1571</v>
      </c>
    </row>
    <row r="235" spans="1:11" x14ac:dyDescent="0.25">
      <c r="A235" s="5" t="s">
        <v>22</v>
      </c>
      <c r="B235" t="s">
        <v>118</v>
      </c>
      <c r="C235" s="9">
        <v>11.789583333333333</v>
      </c>
      <c r="D235" t="s">
        <v>316</v>
      </c>
      <c r="E235">
        <v>0</v>
      </c>
      <c r="F235" t="s">
        <v>317</v>
      </c>
      <c r="G235" t="s">
        <v>1571</v>
      </c>
      <c r="H235" s="9">
        <v>25</v>
      </c>
      <c r="I235" s="8">
        <v>0</v>
      </c>
      <c r="J235" s="69"/>
      <c r="K235" t="s">
        <v>1571</v>
      </c>
    </row>
    <row r="236" spans="1:11" x14ac:dyDescent="0.25">
      <c r="A236" s="5" t="s">
        <v>22</v>
      </c>
      <c r="B236" t="s">
        <v>118</v>
      </c>
      <c r="C236" s="9">
        <v>4.3215277777777779</v>
      </c>
      <c r="D236" t="s">
        <v>230</v>
      </c>
      <c r="E236">
        <v>0</v>
      </c>
      <c r="F236" t="s">
        <v>231</v>
      </c>
      <c r="G236" t="s">
        <v>1571</v>
      </c>
      <c r="H236" s="9">
        <v>8.3333333333333339</v>
      </c>
      <c r="I236" s="8">
        <v>0</v>
      </c>
      <c r="J236" s="69"/>
      <c r="K236" t="s">
        <v>1571</v>
      </c>
    </row>
    <row r="237" spans="1:11" x14ac:dyDescent="0.25">
      <c r="A237" s="5" t="s">
        <v>22</v>
      </c>
      <c r="B237" t="s">
        <v>118</v>
      </c>
      <c r="C237" s="9">
        <v>17.228472222222223</v>
      </c>
      <c r="D237" t="s">
        <v>368</v>
      </c>
      <c r="E237">
        <v>0</v>
      </c>
      <c r="F237" t="s">
        <v>369</v>
      </c>
      <c r="G237" t="s">
        <v>1571</v>
      </c>
      <c r="H237" s="9">
        <v>25</v>
      </c>
      <c r="I237" s="8">
        <v>0</v>
      </c>
      <c r="J237" s="69"/>
      <c r="K237" t="s">
        <v>1571</v>
      </c>
    </row>
    <row r="238" spans="1:11" x14ac:dyDescent="0.25">
      <c r="A238" s="5" t="s">
        <v>22</v>
      </c>
      <c r="B238" t="s">
        <v>118</v>
      </c>
      <c r="C238" s="9">
        <v>14.519444444444444</v>
      </c>
      <c r="D238" t="s">
        <v>340</v>
      </c>
      <c r="E238">
        <v>0</v>
      </c>
      <c r="F238" t="s">
        <v>341</v>
      </c>
      <c r="G238" t="s">
        <v>1571</v>
      </c>
      <c r="H238" s="9">
        <v>16.666666666666668</v>
      </c>
      <c r="I238" s="8">
        <v>0</v>
      </c>
      <c r="J238" s="69"/>
      <c r="K238" t="s">
        <v>1571</v>
      </c>
    </row>
    <row r="239" spans="1:11" x14ac:dyDescent="0.25">
      <c r="A239" s="5" t="s">
        <v>22</v>
      </c>
      <c r="B239" t="s">
        <v>118</v>
      </c>
      <c r="C239" s="9">
        <v>3.5298611111111109</v>
      </c>
      <c r="D239" t="s">
        <v>219</v>
      </c>
      <c r="E239">
        <v>0</v>
      </c>
      <c r="F239" t="s">
        <v>220</v>
      </c>
      <c r="G239" t="s">
        <v>1571</v>
      </c>
      <c r="H239" s="9">
        <v>8.3333333333333339</v>
      </c>
      <c r="I239" s="8">
        <v>0</v>
      </c>
      <c r="J239" s="69"/>
      <c r="K239" t="s">
        <v>1571</v>
      </c>
    </row>
    <row r="240" spans="1:11" x14ac:dyDescent="0.25">
      <c r="A240" s="5" t="s">
        <v>22</v>
      </c>
      <c r="B240" t="s">
        <v>118</v>
      </c>
      <c r="C240" s="9">
        <v>3.4562499999999998</v>
      </c>
      <c r="D240" t="s">
        <v>213</v>
      </c>
      <c r="E240">
        <v>0</v>
      </c>
      <c r="F240" t="s">
        <v>214</v>
      </c>
      <c r="G240" t="s">
        <v>1571</v>
      </c>
      <c r="H240" s="9">
        <v>16.666666666666668</v>
      </c>
      <c r="I240" s="8">
        <v>0</v>
      </c>
      <c r="J240" s="69"/>
      <c r="K240" t="s">
        <v>1571</v>
      </c>
    </row>
    <row r="241" spans="1:11" x14ac:dyDescent="0.25">
      <c r="A241" s="5" t="s">
        <v>22</v>
      </c>
      <c r="B241" t="s">
        <v>118</v>
      </c>
      <c r="C241" s="9">
        <v>20.833333333333332</v>
      </c>
      <c r="D241" t="s">
        <v>169</v>
      </c>
      <c r="E241">
        <v>0</v>
      </c>
      <c r="F241" t="s">
        <v>170</v>
      </c>
      <c r="G241" t="s">
        <v>1571</v>
      </c>
      <c r="H241" s="9">
        <v>20.833333333333332</v>
      </c>
      <c r="I241" s="8">
        <v>0</v>
      </c>
      <c r="J241" s="69"/>
      <c r="K241" t="s">
        <v>1571</v>
      </c>
    </row>
    <row r="242" spans="1:11" x14ac:dyDescent="0.25">
      <c r="A242" s="5" t="s">
        <v>22</v>
      </c>
      <c r="B242" t="s">
        <v>118</v>
      </c>
      <c r="C242" s="9">
        <v>0.85902777777777772</v>
      </c>
      <c r="D242" t="s">
        <v>130</v>
      </c>
      <c r="E242">
        <v>0</v>
      </c>
      <c r="F242" t="s">
        <v>131</v>
      </c>
      <c r="G242" t="s">
        <v>1571</v>
      </c>
      <c r="H242" s="9">
        <v>1.0416666666666667</v>
      </c>
      <c r="I242" s="8">
        <v>0</v>
      </c>
      <c r="J242" s="69"/>
      <c r="K242" t="s">
        <v>1571</v>
      </c>
    </row>
    <row r="243" spans="1:11" x14ac:dyDescent="0.25">
      <c r="A243" s="5" t="s">
        <v>22</v>
      </c>
      <c r="B243" t="s">
        <v>118</v>
      </c>
      <c r="C243" s="9">
        <v>0.43125000000000002</v>
      </c>
      <c r="D243" t="s">
        <v>123</v>
      </c>
      <c r="E243">
        <v>0</v>
      </c>
      <c r="F243" t="s">
        <v>124</v>
      </c>
      <c r="G243" t="s">
        <v>1571</v>
      </c>
      <c r="H243" s="9">
        <v>1.0416666666666667</v>
      </c>
      <c r="I243" s="8">
        <v>0</v>
      </c>
      <c r="J243" s="69"/>
      <c r="K243" t="s">
        <v>1571</v>
      </c>
    </row>
    <row r="244" spans="1:11" x14ac:dyDescent="0.25">
      <c r="A244" s="5" t="s">
        <v>22</v>
      </c>
      <c r="B244" t="s">
        <v>118</v>
      </c>
      <c r="C244" s="9">
        <v>3.5298611111111109</v>
      </c>
      <c r="D244" t="s">
        <v>221</v>
      </c>
      <c r="E244">
        <v>0</v>
      </c>
      <c r="F244" t="s">
        <v>222</v>
      </c>
      <c r="G244" t="s">
        <v>1571</v>
      </c>
      <c r="H244" s="9">
        <v>8.3333333333333339</v>
      </c>
      <c r="I244" s="8">
        <v>0</v>
      </c>
      <c r="J244" s="69"/>
      <c r="K244" t="s">
        <v>1571</v>
      </c>
    </row>
    <row r="245" spans="1:11" x14ac:dyDescent="0.25">
      <c r="A245" s="5" t="s">
        <v>22</v>
      </c>
      <c r="B245" t="s">
        <v>118</v>
      </c>
      <c r="C245" s="9">
        <v>2.2381944444444444</v>
      </c>
      <c r="D245" t="s">
        <v>203</v>
      </c>
      <c r="E245">
        <v>0</v>
      </c>
      <c r="F245" t="s">
        <v>204</v>
      </c>
      <c r="G245" t="s">
        <v>1571</v>
      </c>
      <c r="H245" s="9">
        <v>6.25</v>
      </c>
      <c r="I245" s="8">
        <v>0</v>
      </c>
      <c r="J245" s="69"/>
      <c r="K245" t="s">
        <v>1571</v>
      </c>
    </row>
    <row r="246" spans="1:11" x14ac:dyDescent="0.25">
      <c r="A246" s="5" t="s">
        <v>22</v>
      </c>
      <c r="B246" t="s">
        <v>118</v>
      </c>
      <c r="C246" s="9">
        <v>3.5513888888888889</v>
      </c>
      <c r="D246" t="s">
        <v>225</v>
      </c>
      <c r="E246">
        <v>0</v>
      </c>
      <c r="F246" t="s">
        <v>204</v>
      </c>
      <c r="G246" t="s">
        <v>1571</v>
      </c>
      <c r="H246" s="9">
        <v>12.5</v>
      </c>
      <c r="I246" s="8">
        <v>0</v>
      </c>
      <c r="J246" s="69"/>
      <c r="K246" t="s">
        <v>1571</v>
      </c>
    </row>
    <row r="247" spans="1:11" x14ac:dyDescent="0.25">
      <c r="A247" s="5" t="s">
        <v>22</v>
      </c>
      <c r="B247" t="s">
        <v>118</v>
      </c>
      <c r="C247" s="9">
        <v>2.0833333333333335</v>
      </c>
      <c r="D247" t="s">
        <v>171</v>
      </c>
      <c r="E247">
        <v>0</v>
      </c>
      <c r="F247" t="s">
        <v>172</v>
      </c>
      <c r="G247" t="s">
        <v>1571</v>
      </c>
      <c r="H247" s="9">
        <v>2.0833333333333335</v>
      </c>
      <c r="I247" s="8">
        <v>0</v>
      </c>
      <c r="J247" s="69"/>
      <c r="K247" t="s">
        <v>1571</v>
      </c>
    </row>
    <row r="248" spans="1:11" x14ac:dyDescent="0.25">
      <c r="A248" s="5" t="s">
        <v>22</v>
      </c>
      <c r="B248" t="s">
        <v>118</v>
      </c>
      <c r="C248" s="9">
        <v>4.3347222222222221</v>
      </c>
      <c r="D248" t="s">
        <v>234</v>
      </c>
      <c r="E248">
        <v>0</v>
      </c>
      <c r="F248" t="s">
        <v>172</v>
      </c>
      <c r="G248" t="s">
        <v>1571</v>
      </c>
      <c r="H248" s="9">
        <v>6.25</v>
      </c>
      <c r="I248" s="8">
        <v>0</v>
      </c>
      <c r="J248" s="69"/>
      <c r="K248" t="s">
        <v>1571</v>
      </c>
    </row>
    <row r="249" spans="1:11" x14ac:dyDescent="0.25">
      <c r="A249" s="5" t="s">
        <v>22</v>
      </c>
      <c r="B249" t="s">
        <v>118</v>
      </c>
      <c r="C249" s="9">
        <v>415.29930555555558</v>
      </c>
      <c r="D249" t="s">
        <v>656</v>
      </c>
      <c r="E249">
        <v>0</v>
      </c>
      <c r="F249" t="s">
        <v>657</v>
      </c>
      <c r="G249" t="s">
        <v>1571</v>
      </c>
      <c r="H249" s="9" t="s">
        <v>607</v>
      </c>
      <c r="I249" s="8">
        <v>0</v>
      </c>
      <c r="J249" s="69"/>
      <c r="K249" t="s">
        <v>1571</v>
      </c>
    </row>
    <row r="250" spans="1:11" x14ac:dyDescent="0.25">
      <c r="A250" s="5" t="s">
        <v>22</v>
      </c>
      <c r="B250" t="s">
        <v>118</v>
      </c>
      <c r="C250" s="9">
        <v>1.0416666666666667</v>
      </c>
      <c r="D250" t="s">
        <v>1835</v>
      </c>
      <c r="E250">
        <v>0</v>
      </c>
      <c r="F250" t="s">
        <v>1836</v>
      </c>
      <c r="G250" t="s">
        <v>1986</v>
      </c>
      <c r="H250" s="9">
        <v>1.0416666666666667</v>
      </c>
      <c r="I250" s="8">
        <v>0</v>
      </c>
      <c r="J250" s="69"/>
      <c r="K250" t="s">
        <v>1571</v>
      </c>
    </row>
    <row r="251" spans="1:11" x14ac:dyDescent="0.25">
      <c r="A251" s="5" t="s">
        <v>22</v>
      </c>
      <c r="B251" t="s">
        <v>118</v>
      </c>
      <c r="C251" s="9">
        <v>2.1986111111111111</v>
      </c>
      <c r="D251" t="s">
        <v>197</v>
      </c>
      <c r="E251">
        <v>0</v>
      </c>
      <c r="F251" t="s">
        <v>198</v>
      </c>
      <c r="G251" t="s">
        <v>1986</v>
      </c>
      <c r="H251" s="9">
        <v>4.166666666666667</v>
      </c>
      <c r="I251" s="8">
        <v>0</v>
      </c>
      <c r="J251" s="69"/>
      <c r="K251" t="s">
        <v>1571</v>
      </c>
    </row>
    <row r="252" spans="1:11" x14ac:dyDescent="0.25">
      <c r="A252" s="5" t="s">
        <v>22</v>
      </c>
      <c r="B252" t="s">
        <v>118</v>
      </c>
      <c r="C252" s="9">
        <v>1.1576388888888889</v>
      </c>
      <c r="D252" t="s">
        <v>177</v>
      </c>
      <c r="E252">
        <v>0</v>
      </c>
      <c r="F252" t="s">
        <v>178</v>
      </c>
      <c r="G252" t="s">
        <v>1986</v>
      </c>
      <c r="H252" s="9">
        <v>4.166666666666667</v>
      </c>
      <c r="I252" s="8">
        <v>0</v>
      </c>
      <c r="J252" s="69"/>
      <c r="K252" t="s">
        <v>1571</v>
      </c>
    </row>
    <row r="253" spans="1:11" x14ac:dyDescent="0.25">
      <c r="A253" s="5" t="s">
        <v>22</v>
      </c>
      <c r="B253" t="s">
        <v>118</v>
      </c>
      <c r="C253" s="9">
        <v>10.655555555555555</v>
      </c>
      <c r="D253" t="s">
        <v>268</v>
      </c>
      <c r="E253">
        <v>0</v>
      </c>
      <c r="F253" t="s">
        <v>269</v>
      </c>
      <c r="G253" t="s">
        <v>1986</v>
      </c>
      <c r="H253" s="9">
        <v>12.5</v>
      </c>
      <c r="I253" s="8">
        <v>0</v>
      </c>
      <c r="J253" s="69"/>
      <c r="K253" t="s">
        <v>1571</v>
      </c>
    </row>
    <row r="254" spans="1:11" x14ac:dyDescent="0.25">
      <c r="A254" s="5" t="s">
        <v>22</v>
      </c>
      <c r="B254" t="s">
        <v>118</v>
      </c>
      <c r="C254" s="9">
        <v>0.45069444444444445</v>
      </c>
      <c r="D254" t="s">
        <v>119</v>
      </c>
      <c r="E254">
        <v>0</v>
      </c>
      <c r="F254" t="s">
        <v>120</v>
      </c>
      <c r="G254" t="s">
        <v>1952</v>
      </c>
      <c r="H254" s="9">
        <v>1.0416666666666667</v>
      </c>
      <c r="I254" s="8">
        <v>0</v>
      </c>
      <c r="J254" s="69"/>
      <c r="K254" t="s">
        <v>1571</v>
      </c>
    </row>
    <row r="255" spans="1:11" x14ac:dyDescent="0.25">
      <c r="A255" s="5" t="s">
        <v>22</v>
      </c>
      <c r="B255" t="s">
        <v>118</v>
      </c>
      <c r="C255" s="9">
        <v>0.6645833333333333</v>
      </c>
      <c r="D255" t="s">
        <v>125</v>
      </c>
      <c r="E255">
        <v>0</v>
      </c>
      <c r="F255" t="s">
        <v>126</v>
      </c>
      <c r="G255" t="s">
        <v>1952</v>
      </c>
      <c r="H255" s="9">
        <v>1.0416666666666667</v>
      </c>
      <c r="I255" s="8">
        <v>0</v>
      </c>
      <c r="J255" s="69"/>
      <c r="K255" t="s">
        <v>1571</v>
      </c>
    </row>
    <row r="256" spans="1:11" x14ac:dyDescent="0.25">
      <c r="A256" s="5" t="s">
        <v>22</v>
      </c>
      <c r="B256" t="s">
        <v>118</v>
      </c>
      <c r="C256" s="9">
        <v>1.6243055555555554</v>
      </c>
      <c r="D256" t="s">
        <v>179</v>
      </c>
      <c r="E256">
        <v>0</v>
      </c>
      <c r="F256" t="s">
        <v>180</v>
      </c>
      <c r="G256" t="s">
        <v>1952</v>
      </c>
      <c r="H256" s="9">
        <v>4.166666666666667</v>
      </c>
      <c r="I256" s="8">
        <v>0</v>
      </c>
      <c r="J256" s="69"/>
      <c r="K256" t="s">
        <v>1571</v>
      </c>
    </row>
    <row r="257" spans="1:11" x14ac:dyDescent="0.25">
      <c r="A257" s="5" t="s">
        <v>22</v>
      </c>
      <c r="B257" t="s">
        <v>118</v>
      </c>
      <c r="C257" s="9">
        <v>123.63263888888889</v>
      </c>
      <c r="D257" t="s">
        <v>516</v>
      </c>
      <c r="E257">
        <v>0</v>
      </c>
      <c r="F257" t="s">
        <v>517</v>
      </c>
      <c r="G257">
        <v>7130146</v>
      </c>
      <c r="H257" s="9" t="s">
        <v>66</v>
      </c>
      <c r="I257" s="8">
        <v>0</v>
      </c>
      <c r="J257" s="69"/>
      <c r="K257" t="s">
        <v>1571</v>
      </c>
    </row>
    <row r="258" spans="1:11" x14ac:dyDescent="0.25">
      <c r="A258" s="5" t="s">
        <v>22</v>
      </c>
      <c r="B258" t="s">
        <v>118</v>
      </c>
      <c r="C258" s="9">
        <v>123.63124999999999</v>
      </c>
      <c r="D258" t="s">
        <v>512</v>
      </c>
      <c r="E258">
        <v>0</v>
      </c>
      <c r="F258" t="s">
        <v>513</v>
      </c>
      <c r="G258" t="s">
        <v>1987</v>
      </c>
      <c r="H258" s="9">
        <v>104.16666666666667</v>
      </c>
      <c r="I258" s="8">
        <v>0</v>
      </c>
      <c r="J258" s="69"/>
      <c r="K258" t="s">
        <v>1571</v>
      </c>
    </row>
    <row r="259" spans="1:11" x14ac:dyDescent="0.25">
      <c r="A259" s="5" t="s">
        <v>22</v>
      </c>
      <c r="B259" t="s">
        <v>118</v>
      </c>
      <c r="C259" s="9">
        <v>123.63124999999999</v>
      </c>
      <c r="D259" t="s">
        <v>512</v>
      </c>
      <c r="E259">
        <v>0</v>
      </c>
      <c r="F259" t="s">
        <v>513</v>
      </c>
      <c r="G259" t="s">
        <v>1988</v>
      </c>
      <c r="H259" s="9">
        <v>104.16666666666667</v>
      </c>
      <c r="I259" s="8">
        <v>0</v>
      </c>
      <c r="J259" s="69"/>
      <c r="K259" t="s">
        <v>1571</v>
      </c>
    </row>
    <row r="260" spans="1:11" x14ac:dyDescent="0.25">
      <c r="A260" s="5" t="s">
        <v>22</v>
      </c>
      <c r="B260" t="s">
        <v>118</v>
      </c>
      <c r="C260" s="9" t="s">
        <v>1981</v>
      </c>
      <c r="D260" t="s">
        <v>733</v>
      </c>
      <c r="E260">
        <v>0</v>
      </c>
      <c r="F260" t="s">
        <v>734</v>
      </c>
      <c r="G260" t="s">
        <v>1989</v>
      </c>
      <c r="H260" s="9" t="s">
        <v>38</v>
      </c>
      <c r="I260" s="8">
        <v>0</v>
      </c>
      <c r="J260" s="69"/>
      <c r="K260" t="s">
        <v>1571</v>
      </c>
    </row>
    <row r="261" spans="1:11" x14ac:dyDescent="0.25">
      <c r="A261" s="5" t="s">
        <v>22</v>
      </c>
      <c r="B261" t="s">
        <v>118</v>
      </c>
      <c r="C261" s="9" t="s">
        <v>1981</v>
      </c>
      <c r="D261" t="s">
        <v>735</v>
      </c>
      <c r="E261">
        <v>0</v>
      </c>
      <c r="F261" t="s">
        <v>736</v>
      </c>
      <c r="G261" t="s">
        <v>1989</v>
      </c>
      <c r="H261" s="9" t="s">
        <v>38</v>
      </c>
      <c r="I261" s="8">
        <v>0</v>
      </c>
      <c r="J261" s="69"/>
      <c r="K261" t="s">
        <v>1571</v>
      </c>
    </row>
    <row r="262" spans="1:11" x14ac:dyDescent="0.25">
      <c r="A262" s="5" t="s">
        <v>22</v>
      </c>
      <c r="B262" t="s">
        <v>118</v>
      </c>
      <c r="C262" s="9" t="s">
        <v>1981</v>
      </c>
      <c r="D262" t="s">
        <v>737</v>
      </c>
      <c r="E262">
        <v>0</v>
      </c>
      <c r="F262" t="s">
        <v>738</v>
      </c>
      <c r="G262" t="s">
        <v>1989</v>
      </c>
      <c r="H262" s="9" t="s">
        <v>38</v>
      </c>
      <c r="I262" s="8">
        <v>0</v>
      </c>
      <c r="J262" s="69"/>
      <c r="K262" t="s">
        <v>1571</v>
      </c>
    </row>
    <row r="263" spans="1:11" x14ac:dyDescent="0.25">
      <c r="A263" s="5" t="s">
        <v>22</v>
      </c>
      <c r="B263" t="s">
        <v>118</v>
      </c>
      <c r="C263" s="9" t="s">
        <v>1981</v>
      </c>
      <c r="D263" t="s">
        <v>733</v>
      </c>
      <c r="E263">
        <v>0</v>
      </c>
      <c r="F263" t="s">
        <v>734</v>
      </c>
      <c r="G263" t="s">
        <v>1990</v>
      </c>
      <c r="H263" s="9" t="s">
        <v>38</v>
      </c>
      <c r="I263" s="8">
        <v>0</v>
      </c>
      <c r="J263" s="69"/>
      <c r="K263" t="s">
        <v>1571</v>
      </c>
    </row>
    <row r="264" spans="1:11" x14ac:dyDescent="0.25">
      <c r="A264" s="5" t="s">
        <v>22</v>
      </c>
      <c r="B264" t="s">
        <v>118</v>
      </c>
      <c r="C264" s="9" t="s">
        <v>1981</v>
      </c>
      <c r="D264" t="s">
        <v>735</v>
      </c>
      <c r="E264">
        <v>0</v>
      </c>
      <c r="F264" t="s">
        <v>736</v>
      </c>
      <c r="G264" t="s">
        <v>1990</v>
      </c>
      <c r="H264" s="9" t="s">
        <v>38</v>
      </c>
      <c r="I264" s="8">
        <v>0</v>
      </c>
      <c r="J264" s="69"/>
      <c r="K264" t="s">
        <v>1571</v>
      </c>
    </row>
    <row r="265" spans="1:11" x14ac:dyDescent="0.25">
      <c r="A265" s="5" t="s">
        <v>22</v>
      </c>
      <c r="B265" t="s">
        <v>118</v>
      </c>
      <c r="C265" s="9" t="s">
        <v>1981</v>
      </c>
      <c r="D265" t="s">
        <v>737</v>
      </c>
      <c r="E265">
        <v>0</v>
      </c>
      <c r="F265" t="s">
        <v>738</v>
      </c>
      <c r="G265" t="s">
        <v>1990</v>
      </c>
      <c r="H265" t="s">
        <v>38</v>
      </c>
      <c r="I265" s="8">
        <v>0</v>
      </c>
      <c r="J265" s="69"/>
      <c r="K265" t="s">
        <v>1571</v>
      </c>
    </row>
    <row r="266" spans="1:11" x14ac:dyDescent="0.25">
      <c r="A266" s="5" t="s">
        <v>22</v>
      </c>
      <c r="B266" t="s">
        <v>118</v>
      </c>
      <c r="C266" s="9" t="s">
        <v>1991</v>
      </c>
      <c r="D266" t="s">
        <v>690</v>
      </c>
      <c r="E266">
        <v>0</v>
      </c>
      <c r="F266" t="s">
        <v>691</v>
      </c>
      <c r="G266" t="s">
        <v>1992</v>
      </c>
      <c r="H266" s="9" t="s">
        <v>692</v>
      </c>
      <c r="I266" s="8">
        <v>0</v>
      </c>
      <c r="J266" s="69"/>
      <c r="K266" t="s">
        <v>1571</v>
      </c>
    </row>
    <row r="267" spans="1:11" x14ac:dyDescent="0.25">
      <c r="A267" s="5" t="s">
        <v>22</v>
      </c>
      <c r="B267" t="s">
        <v>118</v>
      </c>
      <c r="C267" s="9" t="s">
        <v>1991</v>
      </c>
      <c r="D267" t="s">
        <v>693</v>
      </c>
      <c r="E267">
        <v>0</v>
      </c>
      <c r="F267" t="s">
        <v>694</v>
      </c>
      <c r="G267" t="s">
        <v>1992</v>
      </c>
      <c r="H267" s="9" t="s">
        <v>692</v>
      </c>
      <c r="I267" s="8">
        <v>0</v>
      </c>
      <c r="J267" s="69"/>
      <c r="K267" t="s">
        <v>1571</v>
      </c>
    </row>
    <row r="268" spans="1:11" x14ac:dyDescent="0.25">
      <c r="A268" s="5" t="s">
        <v>22</v>
      </c>
      <c r="B268" t="s">
        <v>118</v>
      </c>
      <c r="C268" s="9" t="s">
        <v>1991</v>
      </c>
      <c r="D268" t="s">
        <v>695</v>
      </c>
      <c r="E268">
        <v>0</v>
      </c>
      <c r="F268" t="s">
        <v>696</v>
      </c>
      <c r="G268" t="s">
        <v>1992</v>
      </c>
      <c r="H268" s="9" t="s">
        <v>692</v>
      </c>
      <c r="I268" s="8">
        <v>0</v>
      </c>
      <c r="J268" s="69"/>
      <c r="K268" t="s">
        <v>1571</v>
      </c>
    </row>
    <row r="269" spans="1:11" x14ac:dyDescent="0.25">
      <c r="A269" s="5" t="s">
        <v>22</v>
      </c>
      <c r="B269" t="s">
        <v>118</v>
      </c>
      <c r="C269" s="9" t="s">
        <v>1991</v>
      </c>
      <c r="D269" t="s">
        <v>697</v>
      </c>
      <c r="E269">
        <v>0</v>
      </c>
      <c r="F269" t="s">
        <v>698</v>
      </c>
      <c r="G269" t="s">
        <v>1993</v>
      </c>
      <c r="H269" s="9" t="s">
        <v>692</v>
      </c>
      <c r="I269" s="8">
        <v>0</v>
      </c>
      <c r="J269" s="69"/>
      <c r="K269" t="s">
        <v>1571</v>
      </c>
    </row>
    <row r="270" spans="1:11" x14ac:dyDescent="0.25">
      <c r="A270" s="5" t="s">
        <v>22</v>
      </c>
      <c r="B270" t="s">
        <v>118</v>
      </c>
      <c r="C270" s="9" t="s">
        <v>1991</v>
      </c>
      <c r="D270" t="s">
        <v>699</v>
      </c>
      <c r="E270">
        <v>0</v>
      </c>
      <c r="F270" t="s">
        <v>700</v>
      </c>
      <c r="G270" t="s">
        <v>1993</v>
      </c>
      <c r="H270" s="9" t="s">
        <v>692</v>
      </c>
      <c r="I270" s="8">
        <v>0</v>
      </c>
      <c r="J270" s="69"/>
      <c r="K270" t="s">
        <v>1571</v>
      </c>
    </row>
    <row r="271" spans="1:11" x14ac:dyDescent="0.25">
      <c r="A271" s="5" t="s">
        <v>22</v>
      </c>
      <c r="B271" t="s">
        <v>118</v>
      </c>
      <c r="C271" s="9">
        <v>35.913888888888891</v>
      </c>
      <c r="D271" t="s">
        <v>402</v>
      </c>
      <c r="E271">
        <v>0</v>
      </c>
      <c r="F271" t="s">
        <v>403</v>
      </c>
      <c r="G271" t="s">
        <v>1993</v>
      </c>
      <c r="H271" s="9">
        <v>208.33333333333334</v>
      </c>
      <c r="I271" s="8">
        <v>0</v>
      </c>
      <c r="J271" s="69"/>
      <c r="K271" t="s">
        <v>1571</v>
      </c>
    </row>
    <row r="272" spans="1:11" x14ac:dyDescent="0.25">
      <c r="A272" s="5" t="s">
        <v>22</v>
      </c>
      <c r="B272" t="s">
        <v>118</v>
      </c>
      <c r="C272" s="9">
        <v>386.13263888888889</v>
      </c>
      <c r="D272" t="s">
        <v>602</v>
      </c>
      <c r="E272">
        <v>0</v>
      </c>
      <c r="F272" t="s">
        <v>603</v>
      </c>
      <c r="G272" t="s">
        <v>1994</v>
      </c>
      <c r="H272" s="9" t="s">
        <v>604</v>
      </c>
      <c r="I272" s="8">
        <v>0</v>
      </c>
      <c r="J272" s="69"/>
      <c r="K272" t="s">
        <v>1571</v>
      </c>
    </row>
    <row r="273" spans="1:11" x14ac:dyDescent="0.25">
      <c r="A273" s="5" t="s">
        <v>22</v>
      </c>
      <c r="B273" t="s">
        <v>118</v>
      </c>
      <c r="C273" s="9">
        <v>40.299305555555556</v>
      </c>
      <c r="D273" t="s">
        <v>420</v>
      </c>
      <c r="E273">
        <v>0</v>
      </c>
      <c r="F273" t="s">
        <v>421</v>
      </c>
      <c r="G273" t="s">
        <v>1995</v>
      </c>
      <c r="H273" s="9">
        <v>125</v>
      </c>
      <c r="I273" s="8">
        <v>0</v>
      </c>
      <c r="J273" s="69"/>
      <c r="K273" t="s">
        <v>1571</v>
      </c>
    </row>
    <row r="274" spans="1:11" x14ac:dyDescent="0.25">
      <c r="A274" s="5" t="s">
        <v>22</v>
      </c>
      <c r="B274" t="s">
        <v>118</v>
      </c>
      <c r="C274" s="9">
        <v>386.13263888888889</v>
      </c>
      <c r="D274" t="s">
        <v>602</v>
      </c>
      <c r="E274">
        <v>0</v>
      </c>
      <c r="F274" t="s">
        <v>603</v>
      </c>
      <c r="G274" t="s">
        <v>1996</v>
      </c>
      <c r="H274" s="9" t="s">
        <v>604</v>
      </c>
      <c r="I274" s="8">
        <v>0</v>
      </c>
      <c r="J274" s="69"/>
      <c r="K274" t="s">
        <v>1571</v>
      </c>
    </row>
    <row r="275" spans="1:11" x14ac:dyDescent="0.25">
      <c r="A275" s="5" t="s">
        <v>22</v>
      </c>
      <c r="B275" t="s">
        <v>118</v>
      </c>
      <c r="C275" s="9">
        <v>40.299305555555556</v>
      </c>
      <c r="D275" t="s">
        <v>420</v>
      </c>
      <c r="E275">
        <v>0</v>
      </c>
      <c r="F275" t="s">
        <v>421</v>
      </c>
      <c r="G275" t="s">
        <v>1997</v>
      </c>
      <c r="H275" s="9">
        <v>125</v>
      </c>
      <c r="I275" s="8">
        <v>0</v>
      </c>
      <c r="J275" s="69"/>
      <c r="K275" t="s">
        <v>1571</v>
      </c>
    </row>
    <row r="276" spans="1:11" x14ac:dyDescent="0.25">
      <c r="A276" s="5" t="s">
        <v>22</v>
      </c>
      <c r="B276" t="s">
        <v>118</v>
      </c>
      <c r="C276" s="9" t="s">
        <v>1998</v>
      </c>
      <c r="D276" t="s">
        <v>832</v>
      </c>
      <c r="E276">
        <v>0</v>
      </c>
      <c r="F276" t="s">
        <v>833</v>
      </c>
      <c r="G276" t="s">
        <v>1999</v>
      </c>
      <c r="H276" s="9" t="s">
        <v>834</v>
      </c>
      <c r="I276" s="8">
        <v>0</v>
      </c>
      <c r="J276" s="69"/>
      <c r="K276" t="s">
        <v>1571</v>
      </c>
    </row>
    <row r="277" spans="1:11" x14ac:dyDescent="0.25">
      <c r="A277" s="5" t="s">
        <v>22</v>
      </c>
      <c r="B277" t="s">
        <v>118</v>
      </c>
      <c r="C277" s="9">
        <v>40.299305555555556</v>
      </c>
      <c r="D277" t="s">
        <v>422</v>
      </c>
      <c r="E277">
        <v>0</v>
      </c>
      <c r="F277" t="s">
        <v>423</v>
      </c>
      <c r="G277" t="s">
        <v>2000</v>
      </c>
      <c r="H277" s="9">
        <v>125</v>
      </c>
      <c r="I277" s="8">
        <v>0</v>
      </c>
      <c r="J277" s="69"/>
      <c r="K277" t="s">
        <v>1571</v>
      </c>
    </row>
    <row r="278" spans="1:11" x14ac:dyDescent="0.25">
      <c r="A278" s="5" t="s">
        <v>22</v>
      </c>
      <c r="B278" t="s">
        <v>118</v>
      </c>
      <c r="C278" s="9">
        <v>415.29930555555558</v>
      </c>
      <c r="D278" t="s">
        <v>658</v>
      </c>
      <c r="E278">
        <v>0</v>
      </c>
      <c r="F278" t="s">
        <v>659</v>
      </c>
      <c r="G278" t="s">
        <v>2001</v>
      </c>
      <c r="H278" s="9" t="s">
        <v>607</v>
      </c>
      <c r="I278" s="8">
        <v>0</v>
      </c>
      <c r="J278" s="69"/>
      <c r="K278" t="s">
        <v>1571</v>
      </c>
    </row>
    <row r="279" spans="1:11" x14ac:dyDescent="0.25">
      <c r="A279" s="5" t="s">
        <v>22</v>
      </c>
      <c r="B279" t="s">
        <v>118</v>
      </c>
      <c r="C279" s="9">
        <v>4.3215277777777779</v>
      </c>
      <c r="D279" t="s">
        <v>232</v>
      </c>
      <c r="E279">
        <v>0</v>
      </c>
      <c r="F279" t="s">
        <v>233</v>
      </c>
      <c r="G279">
        <v>42</v>
      </c>
      <c r="H279" s="9">
        <v>8.3333333333333339</v>
      </c>
      <c r="I279" s="8">
        <v>0</v>
      </c>
      <c r="J279" s="69"/>
      <c r="K279" t="s">
        <v>1571</v>
      </c>
    </row>
    <row r="280" spans="1:11" x14ac:dyDescent="0.25">
      <c r="A280" s="5" t="s">
        <v>22</v>
      </c>
      <c r="B280" t="s">
        <v>118</v>
      </c>
      <c r="C280" s="9">
        <v>415.29930555555558</v>
      </c>
      <c r="D280" t="s">
        <v>660</v>
      </c>
      <c r="E280">
        <v>0</v>
      </c>
      <c r="F280" t="s">
        <v>661</v>
      </c>
      <c r="G280" t="s">
        <v>2002</v>
      </c>
      <c r="H280" s="9" t="s">
        <v>607</v>
      </c>
      <c r="I280" s="8">
        <v>0</v>
      </c>
      <c r="J280" s="69"/>
      <c r="K280" t="s">
        <v>1571</v>
      </c>
    </row>
    <row r="281" spans="1:11" x14ac:dyDescent="0.25">
      <c r="A281" s="5" t="s">
        <v>22</v>
      </c>
      <c r="B281" t="s">
        <v>118</v>
      </c>
      <c r="C281" s="9">
        <v>81.365277777777777</v>
      </c>
      <c r="D281" t="s">
        <v>472</v>
      </c>
      <c r="E281">
        <v>0</v>
      </c>
      <c r="F281" t="s">
        <v>473</v>
      </c>
      <c r="G281" t="s">
        <v>2002</v>
      </c>
      <c r="H281" s="9">
        <v>83.333333333333329</v>
      </c>
      <c r="I281" s="8">
        <v>0</v>
      </c>
      <c r="J281" s="69"/>
      <c r="K281" t="s">
        <v>1571</v>
      </c>
    </row>
    <row r="282" spans="1:11" x14ac:dyDescent="0.25">
      <c r="A282" s="5" t="s">
        <v>22</v>
      </c>
      <c r="B282" t="s">
        <v>118</v>
      </c>
      <c r="C282" s="9">
        <v>415.29930555555558</v>
      </c>
      <c r="D282" t="s">
        <v>660</v>
      </c>
      <c r="E282">
        <v>0</v>
      </c>
      <c r="F282" t="s">
        <v>661</v>
      </c>
      <c r="G282" t="s">
        <v>2003</v>
      </c>
      <c r="H282" s="9" t="s">
        <v>607</v>
      </c>
      <c r="I282" s="8">
        <v>0</v>
      </c>
      <c r="J282" s="69"/>
      <c r="K282" t="s">
        <v>1571</v>
      </c>
    </row>
    <row r="283" spans="1:11" x14ac:dyDescent="0.25">
      <c r="A283" s="5" t="s">
        <v>22</v>
      </c>
      <c r="B283" t="s">
        <v>118</v>
      </c>
      <c r="C283" s="9">
        <v>81.365277777777777</v>
      </c>
      <c r="D283" t="s">
        <v>472</v>
      </c>
      <c r="E283">
        <v>0</v>
      </c>
      <c r="F283" t="s">
        <v>473</v>
      </c>
      <c r="G283" t="s">
        <v>2003</v>
      </c>
      <c r="H283" s="9">
        <v>83.333333333333329</v>
      </c>
      <c r="I283" s="8">
        <v>0</v>
      </c>
      <c r="J283" s="69"/>
      <c r="K283" t="s">
        <v>1571</v>
      </c>
    </row>
    <row r="284" spans="1:11" x14ac:dyDescent="0.25">
      <c r="A284" s="5" t="s">
        <v>22</v>
      </c>
      <c r="B284" t="s">
        <v>118</v>
      </c>
      <c r="C284" s="9">
        <v>10.706250000000001</v>
      </c>
      <c r="D284" t="s">
        <v>253</v>
      </c>
      <c r="E284">
        <v>0</v>
      </c>
      <c r="F284" t="s">
        <v>254</v>
      </c>
      <c r="G284">
        <v>3175202</v>
      </c>
      <c r="H284" s="9">
        <v>12.5</v>
      </c>
      <c r="I284" s="8">
        <v>0</v>
      </c>
      <c r="J284" s="69"/>
      <c r="K284" t="s">
        <v>1571</v>
      </c>
    </row>
    <row r="285" spans="1:11" x14ac:dyDescent="0.25">
      <c r="A285" s="5" t="s">
        <v>22</v>
      </c>
      <c r="B285" t="s">
        <v>118</v>
      </c>
      <c r="C285" s="9">
        <v>10.706250000000001</v>
      </c>
      <c r="D285" t="s">
        <v>255</v>
      </c>
      <c r="E285">
        <v>0</v>
      </c>
      <c r="F285" t="s">
        <v>256</v>
      </c>
      <c r="G285">
        <v>3175202</v>
      </c>
      <c r="H285" s="9">
        <v>12.5</v>
      </c>
      <c r="I285" s="8">
        <v>0</v>
      </c>
      <c r="J285" s="69"/>
      <c r="K285" t="s">
        <v>1571</v>
      </c>
    </row>
    <row r="286" spans="1:11" x14ac:dyDescent="0.25">
      <c r="A286" s="5" t="s">
        <v>22</v>
      </c>
      <c r="B286" t="s">
        <v>118</v>
      </c>
      <c r="C286" s="9">
        <v>7.2444444444444445</v>
      </c>
      <c r="D286" t="s">
        <v>132</v>
      </c>
      <c r="E286">
        <v>0</v>
      </c>
      <c r="F286" t="s">
        <v>133</v>
      </c>
      <c r="G286">
        <v>3175202</v>
      </c>
      <c r="H286" s="9">
        <v>12.5</v>
      </c>
      <c r="I286" s="8">
        <v>0</v>
      </c>
      <c r="J286" s="69"/>
      <c r="K286" t="s">
        <v>1571</v>
      </c>
    </row>
    <row r="287" spans="1:11" x14ac:dyDescent="0.25">
      <c r="A287" s="5" t="s">
        <v>22</v>
      </c>
      <c r="B287" t="s">
        <v>118</v>
      </c>
      <c r="C287" s="9">
        <v>7.2444444444444445</v>
      </c>
      <c r="D287" t="s">
        <v>247</v>
      </c>
      <c r="E287">
        <v>0</v>
      </c>
      <c r="F287" t="s">
        <v>248</v>
      </c>
      <c r="G287">
        <v>3175202</v>
      </c>
      <c r="H287" s="9">
        <v>12.5</v>
      </c>
      <c r="I287" s="8">
        <v>0</v>
      </c>
      <c r="J287" s="69"/>
      <c r="K287" t="s">
        <v>1571</v>
      </c>
    </row>
    <row r="288" spans="1:11" x14ac:dyDescent="0.25">
      <c r="A288" s="5" t="s">
        <v>22</v>
      </c>
      <c r="B288" t="s">
        <v>118</v>
      </c>
      <c r="C288" s="9" t="s">
        <v>2004</v>
      </c>
      <c r="D288" t="s">
        <v>712</v>
      </c>
      <c r="E288">
        <v>0</v>
      </c>
      <c r="F288" t="s">
        <v>713</v>
      </c>
      <c r="G288" t="s">
        <v>2005</v>
      </c>
      <c r="H288" s="9" t="s">
        <v>38</v>
      </c>
      <c r="I288" s="8">
        <v>0</v>
      </c>
      <c r="J288" s="69"/>
      <c r="K288" t="s">
        <v>1571</v>
      </c>
    </row>
    <row r="289" spans="1:11" x14ac:dyDescent="0.25">
      <c r="A289" s="5" t="s">
        <v>22</v>
      </c>
      <c r="B289" t="s">
        <v>118</v>
      </c>
      <c r="C289" s="9">
        <v>6.2048611111111107</v>
      </c>
      <c r="D289" t="s">
        <v>245</v>
      </c>
      <c r="E289">
        <v>0</v>
      </c>
      <c r="F289" t="s">
        <v>246</v>
      </c>
      <c r="G289">
        <v>3121883</v>
      </c>
      <c r="H289" s="9">
        <v>12.5</v>
      </c>
      <c r="I289" s="8">
        <v>0</v>
      </c>
      <c r="J289" s="69"/>
      <c r="K289" t="s">
        <v>1571</v>
      </c>
    </row>
    <row r="290" spans="1:11" x14ac:dyDescent="0.25">
      <c r="A290" s="5" t="s">
        <v>22</v>
      </c>
      <c r="B290" t="s">
        <v>118</v>
      </c>
      <c r="C290" s="9">
        <v>81.186111111111117</v>
      </c>
      <c r="D290" t="s">
        <v>470</v>
      </c>
      <c r="E290">
        <v>0</v>
      </c>
      <c r="F290" t="s">
        <v>471</v>
      </c>
      <c r="G290">
        <v>94</v>
      </c>
      <c r="H290" s="9">
        <v>83.333333333333329</v>
      </c>
      <c r="I290" s="8">
        <v>0</v>
      </c>
      <c r="J290" s="69"/>
      <c r="K290" t="s">
        <v>1571</v>
      </c>
    </row>
    <row r="291" spans="1:11" x14ac:dyDescent="0.25">
      <c r="A291" s="5" t="s">
        <v>22</v>
      </c>
      <c r="B291" t="s">
        <v>118</v>
      </c>
      <c r="C291" s="9">
        <v>81.186111111111117</v>
      </c>
      <c r="D291" t="s">
        <v>470</v>
      </c>
      <c r="E291">
        <v>0</v>
      </c>
      <c r="F291" t="s">
        <v>471</v>
      </c>
      <c r="G291">
        <v>95</v>
      </c>
      <c r="H291" s="9">
        <v>83.333333333333329</v>
      </c>
      <c r="I291" s="8">
        <v>0</v>
      </c>
      <c r="J291" s="69"/>
      <c r="K291" t="s">
        <v>1571</v>
      </c>
    </row>
    <row r="292" spans="1:11" x14ac:dyDescent="0.25">
      <c r="A292" s="5" t="s">
        <v>22</v>
      </c>
      <c r="B292" t="s">
        <v>118</v>
      </c>
      <c r="C292" s="9">
        <v>6.9625000000000004</v>
      </c>
      <c r="D292" t="s">
        <v>245</v>
      </c>
      <c r="E292">
        <v>0</v>
      </c>
      <c r="F292" t="s">
        <v>246</v>
      </c>
      <c r="G292">
        <v>2878522</v>
      </c>
      <c r="H292" s="9">
        <v>12.5</v>
      </c>
      <c r="I292" s="8">
        <v>0</v>
      </c>
      <c r="J292" s="69"/>
      <c r="K292" t="s">
        <v>1571</v>
      </c>
    </row>
    <row r="293" spans="1:11" x14ac:dyDescent="0.25">
      <c r="A293" s="5" t="s">
        <v>22</v>
      </c>
      <c r="B293" t="s">
        <v>118</v>
      </c>
      <c r="C293" s="9">
        <v>6.2048611111111107</v>
      </c>
      <c r="D293" t="s">
        <v>155</v>
      </c>
      <c r="E293">
        <v>0</v>
      </c>
      <c r="F293" t="s">
        <v>156</v>
      </c>
      <c r="G293" t="s">
        <v>2006</v>
      </c>
      <c r="H293" s="9">
        <v>12.5</v>
      </c>
      <c r="I293" s="8">
        <v>0</v>
      </c>
      <c r="J293" s="69"/>
      <c r="K293" t="s">
        <v>1571</v>
      </c>
    </row>
    <row r="294" spans="1:11" x14ac:dyDescent="0.25">
      <c r="A294" s="5" t="s">
        <v>22</v>
      </c>
      <c r="B294" t="s">
        <v>118</v>
      </c>
      <c r="C294" s="9" t="s">
        <v>2007</v>
      </c>
      <c r="D294" t="s">
        <v>676</v>
      </c>
      <c r="E294">
        <v>0</v>
      </c>
      <c r="F294" t="s">
        <v>677</v>
      </c>
      <c r="G294" t="s">
        <v>2008</v>
      </c>
      <c r="H294" s="9">
        <v>104.16666666666667</v>
      </c>
      <c r="I294" s="8">
        <v>0</v>
      </c>
      <c r="J294" s="69"/>
      <c r="K294" t="s">
        <v>1571</v>
      </c>
    </row>
    <row r="295" spans="1:11" x14ac:dyDescent="0.25">
      <c r="A295" s="5" t="s">
        <v>22</v>
      </c>
      <c r="B295" t="s">
        <v>118</v>
      </c>
      <c r="C295" s="9" t="s">
        <v>2007</v>
      </c>
      <c r="D295" t="s">
        <v>676</v>
      </c>
      <c r="E295">
        <v>0</v>
      </c>
      <c r="F295" t="s">
        <v>677</v>
      </c>
      <c r="G295" t="s">
        <v>2009</v>
      </c>
      <c r="H295" s="9">
        <v>104.16666666666667</v>
      </c>
      <c r="I295" s="8">
        <v>0</v>
      </c>
      <c r="J295" s="69"/>
      <c r="K295" t="s">
        <v>1571</v>
      </c>
    </row>
    <row r="296" spans="1:11" x14ac:dyDescent="0.25">
      <c r="A296" s="5" t="s">
        <v>22</v>
      </c>
      <c r="B296" t="s">
        <v>118</v>
      </c>
      <c r="C296" s="9" t="s">
        <v>2007</v>
      </c>
      <c r="D296" t="s">
        <v>678</v>
      </c>
      <c r="E296">
        <v>0</v>
      </c>
      <c r="F296" t="s">
        <v>679</v>
      </c>
      <c r="G296" t="s">
        <v>2010</v>
      </c>
      <c r="H296" s="9">
        <v>104.16666666666667</v>
      </c>
      <c r="I296" s="8">
        <v>0</v>
      </c>
      <c r="J296" s="69"/>
      <c r="K296" t="s">
        <v>1571</v>
      </c>
    </row>
    <row r="297" spans="1:11" x14ac:dyDescent="0.25">
      <c r="A297" s="5" t="s">
        <v>22</v>
      </c>
      <c r="B297" t="s">
        <v>118</v>
      </c>
      <c r="C297" s="9" t="s">
        <v>2007</v>
      </c>
      <c r="D297" t="s">
        <v>680</v>
      </c>
      <c r="E297">
        <v>0</v>
      </c>
      <c r="F297" t="s">
        <v>681</v>
      </c>
      <c r="G297" t="s">
        <v>2010</v>
      </c>
      <c r="H297" s="9">
        <v>104.16666666666667</v>
      </c>
      <c r="I297" s="8">
        <v>0</v>
      </c>
      <c r="J297" s="69"/>
      <c r="K297" t="s">
        <v>1571</v>
      </c>
    </row>
    <row r="298" spans="1:11" x14ac:dyDescent="0.25">
      <c r="A298" s="5" t="s">
        <v>22</v>
      </c>
      <c r="B298" t="s">
        <v>118</v>
      </c>
      <c r="C298" s="9" t="s">
        <v>2007</v>
      </c>
      <c r="D298" t="s">
        <v>678</v>
      </c>
      <c r="E298">
        <v>0</v>
      </c>
      <c r="F298" t="s">
        <v>679</v>
      </c>
      <c r="G298" t="s">
        <v>2011</v>
      </c>
      <c r="H298" s="9">
        <v>104.16666666666667</v>
      </c>
      <c r="I298" s="8">
        <v>0</v>
      </c>
      <c r="J298" s="69"/>
      <c r="K298" t="s">
        <v>1571</v>
      </c>
    </row>
    <row r="299" spans="1:11" x14ac:dyDescent="0.25">
      <c r="A299" s="5" t="s">
        <v>22</v>
      </c>
      <c r="B299" t="s">
        <v>118</v>
      </c>
      <c r="C299" s="9" t="s">
        <v>2007</v>
      </c>
      <c r="D299" t="s">
        <v>680</v>
      </c>
      <c r="E299">
        <v>0</v>
      </c>
      <c r="F299" t="s">
        <v>681</v>
      </c>
      <c r="G299" t="s">
        <v>2011</v>
      </c>
      <c r="H299" s="9">
        <v>104.16666666666667</v>
      </c>
      <c r="I299" s="8">
        <v>0</v>
      </c>
      <c r="J299" s="69"/>
      <c r="K299" t="s">
        <v>1571</v>
      </c>
    </row>
    <row r="300" spans="1:11" x14ac:dyDescent="0.25">
      <c r="A300" s="5" t="s">
        <v>22</v>
      </c>
      <c r="B300" t="s">
        <v>118</v>
      </c>
      <c r="C300" s="9">
        <v>69.40347222222222</v>
      </c>
      <c r="D300" t="s">
        <v>447</v>
      </c>
      <c r="E300">
        <v>0</v>
      </c>
      <c r="F300" t="s">
        <v>448</v>
      </c>
      <c r="G300" t="s">
        <v>2012</v>
      </c>
      <c r="H300" s="9" t="s">
        <v>38</v>
      </c>
      <c r="I300" s="8">
        <v>0</v>
      </c>
      <c r="J300" s="69"/>
      <c r="K300" t="s">
        <v>1571</v>
      </c>
    </row>
    <row r="301" spans="1:11" x14ac:dyDescent="0.25">
      <c r="A301" s="5" t="s">
        <v>22</v>
      </c>
      <c r="B301" t="s">
        <v>118</v>
      </c>
      <c r="C301" s="9">
        <v>2.1986111111111111</v>
      </c>
      <c r="D301" t="s">
        <v>173</v>
      </c>
      <c r="E301">
        <v>0</v>
      </c>
      <c r="F301" t="s">
        <v>174</v>
      </c>
      <c r="G301" t="s">
        <v>2012</v>
      </c>
      <c r="H301" s="9">
        <v>4.166666666666667</v>
      </c>
      <c r="I301" s="8">
        <v>0</v>
      </c>
      <c r="J301" s="69"/>
      <c r="K301" t="s">
        <v>1571</v>
      </c>
    </row>
    <row r="302" spans="1:11" x14ac:dyDescent="0.25">
      <c r="A302" s="5" t="s">
        <v>22</v>
      </c>
      <c r="B302" t="s">
        <v>118</v>
      </c>
      <c r="C302" s="9" t="s">
        <v>2013</v>
      </c>
      <c r="D302" t="s">
        <v>885</v>
      </c>
      <c r="E302">
        <v>0</v>
      </c>
      <c r="F302" t="s">
        <v>848</v>
      </c>
      <c r="G302" t="s">
        <v>2014</v>
      </c>
      <c r="H302" t="s">
        <v>66</v>
      </c>
      <c r="I302" s="8">
        <v>0</v>
      </c>
      <c r="J302" s="69"/>
      <c r="K302" t="s">
        <v>1571</v>
      </c>
    </row>
    <row r="303" spans="1:11" x14ac:dyDescent="0.25">
      <c r="A303" s="5" t="s">
        <v>22</v>
      </c>
      <c r="B303" t="s">
        <v>118</v>
      </c>
      <c r="C303" s="9" t="s">
        <v>2015</v>
      </c>
      <c r="D303" t="s">
        <v>847</v>
      </c>
      <c r="E303">
        <v>0</v>
      </c>
      <c r="F303" t="s">
        <v>848</v>
      </c>
      <c r="G303" t="s">
        <v>2014</v>
      </c>
      <c r="H303" s="9" t="s">
        <v>66</v>
      </c>
      <c r="I303" s="8">
        <v>0</v>
      </c>
      <c r="J303" s="69"/>
      <c r="K303" t="s">
        <v>1571</v>
      </c>
    </row>
    <row r="304" spans="1:11" x14ac:dyDescent="0.25">
      <c r="A304" s="5" t="s">
        <v>22</v>
      </c>
      <c r="B304" t="s">
        <v>118</v>
      </c>
      <c r="C304" s="9" t="s">
        <v>2015</v>
      </c>
      <c r="D304" t="s">
        <v>849</v>
      </c>
      <c r="E304">
        <v>0</v>
      </c>
      <c r="F304" t="s">
        <v>850</v>
      </c>
      <c r="G304" t="s">
        <v>2014</v>
      </c>
      <c r="H304" s="9" t="s">
        <v>66</v>
      </c>
      <c r="I304" s="8">
        <v>0</v>
      </c>
      <c r="J304" s="69"/>
      <c r="K304" t="s">
        <v>1571</v>
      </c>
    </row>
    <row r="305" spans="1:11" x14ac:dyDescent="0.25">
      <c r="A305" s="5" t="s">
        <v>22</v>
      </c>
      <c r="B305" t="s">
        <v>118</v>
      </c>
      <c r="C305" s="9" t="s">
        <v>2015</v>
      </c>
      <c r="D305" t="s">
        <v>851</v>
      </c>
      <c r="E305">
        <v>0</v>
      </c>
      <c r="F305" t="s">
        <v>852</v>
      </c>
      <c r="G305" t="s">
        <v>2014</v>
      </c>
      <c r="H305" t="s">
        <v>66</v>
      </c>
      <c r="I305" s="8">
        <v>0</v>
      </c>
      <c r="J305" s="69"/>
      <c r="K305" t="s">
        <v>1571</v>
      </c>
    </row>
    <row r="306" spans="1:11" x14ac:dyDescent="0.25">
      <c r="A306" s="5" t="s">
        <v>22</v>
      </c>
      <c r="B306" t="s">
        <v>118</v>
      </c>
      <c r="C306" s="9" t="s">
        <v>2016</v>
      </c>
      <c r="D306" t="s">
        <v>765</v>
      </c>
      <c r="E306">
        <v>0</v>
      </c>
      <c r="F306" t="s">
        <v>766</v>
      </c>
      <c r="G306" t="s">
        <v>2014</v>
      </c>
      <c r="H306" s="9">
        <v>291.66666666666669</v>
      </c>
      <c r="I306" s="8">
        <v>0</v>
      </c>
      <c r="J306" s="69"/>
      <c r="K306" t="s">
        <v>1571</v>
      </c>
    </row>
    <row r="307" spans="1:11" x14ac:dyDescent="0.25">
      <c r="A307" s="5" t="s">
        <v>22</v>
      </c>
      <c r="B307" t="s">
        <v>118</v>
      </c>
      <c r="C307" s="9" t="s">
        <v>2017</v>
      </c>
      <c r="D307" t="s">
        <v>840</v>
      </c>
      <c r="E307">
        <v>0</v>
      </c>
      <c r="F307" t="s">
        <v>841</v>
      </c>
      <c r="G307" t="s">
        <v>2014</v>
      </c>
      <c r="H307" s="9">
        <v>291.66666666666669</v>
      </c>
      <c r="I307" s="8">
        <v>0</v>
      </c>
      <c r="J307" s="69"/>
      <c r="K307" t="s">
        <v>1571</v>
      </c>
    </row>
    <row r="308" spans="1:11" x14ac:dyDescent="0.25">
      <c r="A308" s="5" t="s">
        <v>22</v>
      </c>
      <c r="B308" t="s">
        <v>118</v>
      </c>
      <c r="C308" s="9" t="s">
        <v>2015</v>
      </c>
      <c r="D308" t="s">
        <v>853</v>
      </c>
      <c r="E308">
        <v>0</v>
      </c>
      <c r="F308" t="s">
        <v>854</v>
      </c>
      <c r="G308" t="s">
        <v>2014</v>
      </c>
      <c r="H308" t="s">
        <v>66</v>
      </c>
      <c r="I308" s="8">
        <v>0</v>
      </c>
      <c r="J308" s="69"/>
      <c r="K308" t="s">
        <v>1571</v>
      </c>
    </row>
    <row r="309" spans="1:11" x14ac:dyDescent="0.25">
      <c r="A309" s="5" t="s">
        <v>22</v>
      </c>
      <c r="B309" t="s">
        <v>118</v>
      </c>
      <c r="C309" s="9" t="s">
        <v>2015</v>
      </c>
      <c r="D309" t="s">
        <v>855</v>
      </c>
      <c r="E309">
        <v>0</v>
      </c>
      <c r="F309" t="s">
        <v>848</v>
      </c>
      <c r="G309" t="s">
        <v>2014</v>
      </c>
      <c r="H309" s="9" t="s">
        <v>66</v>
      </c>
      <c r="I309" s="8">
        <v>0</v>
      </c>
      <c r="J309" s="69"/>
      <c r="K309" t="s">
        <v>1571</v>
      </c>
    </row>
    <row r="310" spans="1:11" x14ac:dyDescent="0.25">
      <c r="A310" s="5" t="s">
        <v>22</v>
      </c>
      <c r="B310" t="s">
        <v>118</v>
      </c>
      <c r="C310" s="9" t="s">
        <v>2018</v>
      </c>
      <c r="D310" t="s">
        <v>761</v>
      </c>
      <c r="E310">
        <v>0</v>
      </c>
      <c r="F310" t="s">
        <v>762</v>
      </c>
      <c r="G310" t="s">
        <v>2014</v>
      </c>
      <c r="H310" s="9">
        <v>190.83333333333334</v>
      </c>
      <c r="I310" s="8">
        <v>0</v>
      </c>
      <c r="J310" s="69"/>
      <c r="K310" t="s">
        <v>1571</v>
      </c>
    </row>
    <row r="311" spans="1:11" x14ac:dyDescent="0.25">
      <c r="A311" s="5" t="s">
        <v>22</v>
      </c>
      <c r="B311" t="s">
        <v>118</v>
      </c>
      <c r="C311" s="9" t="s">
        <v>2019</v>
      </c>
      <c r="D311" t="s">
        <v>785</v>
      </c>
      <c r="E311">
        <v>0</v>
      </c>
      <c r="F311" t="s">
        <v>786</v>
      </c>
      <c r="G311" t="s">
        <v>2014</v>
      </c>
      <c r="H311" t="s">
        <v>787</v>
      </c>
      <c r="I311" s="8">
        <v>0</v>
      </c>
      <c r="J311" s="69"/>
      <c r="K311" t="s">
        <v>1571</v>
      </c>
    </row>
    <row r="312" spans="1:11" x14ac:dyDescent="0.25">
      <c r="A312" s="5" t="s">
        <v>22</v>
      </c>
      <c r="B312" t="s">
        <v>118</v>
      </c>
      <c r="C312" s="9" t="s">
        <v>2015</v>
      </c>
      <c r="D312" t="s">
        <v>856</v>
      </c>
      <c r="E312">
        <v>0</v>
      </c>
      <c r="F312" t="s">
        <v>857</v>
      </c>
      <c r="G312" t="s">
        <v>2014</v>
      </c>
      <c r="H312" t="s">
        <v>66</v>
      </c>
      <c r="I312" s="8">
        <v>0</v>
      </c>
      <c r="J312" s="69"/>
      <c r="K312" t="s">
        <v>1571</v>
      </c>
    </row>
    <row r="313" spans="1:11" x14ac:dyDescent="0.25">
      <c r="A313" s="5" t="s">
        <v>22</v>
      </c>
      <c r="B313" t="s">
        <v>118</v>
      </c>
      <c r="C313" s="9" t="s">
        <v>2015</v>
      </c>
      <c r="D313" t="s">
        <v>858</v>
      </c>
      <c r="E313">
        <v>0</v>
      </c>
      <c r="F313" t="s">
        <v>859</v>
      </c>
      <c r="G313" t="s">
        <v>2014</v>
      </c>
      <c r="H313" t="s">
        <v>66</v>
      </c>
      <c r="I313" s="8">
        <v>0</v>
      </c>
      <c r="J313" s="69"/>
      <c r="K313" t="s">
        <v>1571</v>
      </c>
    </row>
    <row r="314" spans="1:11" x14ac:dyDescent="0.25">
      <c r="A314" s="5" t="s">
        <v>22</v>
      </c>
      <c r="B314" t="s">
        <v>118</v>
      </c>
      <c r="C314" s="9" t="s">
        <v>2015</v>
      </c>
      <c r="D314" t="s">
        <v>860</v>
      </c>
      <c r="E314">
        <v>0</v>
      </c>
      <c r="F314" t="s">
        <v>861</v>
      </c>
      <c r="G314" t="s">
        <v>2014</v>
      </c>
      <c r="H314" s="9" t="s">
        <v>66</v>
      </c>
      <c r="I314" s="8">
        <v>0</v>
      </c>
      <c r="J314" s="69"/>
      <c r="K314" t="s">
        <v>1571</v>
      </c>
    </row>
    <row r="315" spans="1:11" x14ac:dyDescent="0.25">
      <c r="A315" s="5" t="s">
        <v>22</v>
      </c>
      <c r="B315" t="s">
        <v>118</v>
      </c>
      <c r="C315" s="9" t="s">
        <v>2015</v>
      </c>
      <c r="D315" t="s">
        <v>862</v>
      </c>
      <c r="E315">
        <v>0</v>
      </c>
      <c r="F315" t="s">
        <v>863</v>
      </c>
      <c r="G315" t="s">
        <v>2014</v>
      </c>
      <c r="H315" s="9" t="s">
        <v>66</v>
      </c>
      <c r="I315" s="8">
        <v>0</v>
      </c>
      <c r="J315" s="69"/>
      <c r="K315" t="s">
        <v>1571</v>
      </c>
    </row>
    <row r="316" spans="1:11" x14ac:dyDescent="0.25">
      <c r="A316" s="5" t="s">
        <v>22</v>
      </c>
      <c r="B316" t="s">
        <v>118</v>
      </c>
      <c r="C316" s="9" t="s">
        <v>2015</v>
      </c>
      <c r="D316" t="s">
        <v>864</v>
      </c>
      <c r="E316">
        <v>0</v>
      </c>
      <c r="F316" t="s">
        <v>865</v>
      </c>
      <c r="G316" t="s">
        <v>2014</v>
      </c>
      <c r="H316" s="9" t="s">
        <v>66</v>
      </c>
      <c r="I316" s="8">
        <v>0</v>
      </c>
      <c r="J316" s="69"/>
      <c r="K316" t="s">
        <v>1571</v>
      </c>
    </row>
    <row r="317" spans="1:11" x14ac:dyDescent="0.25">
      <c r="A317" s="5" t="s">
        <v>22</v>
      </c>
      <c r="B317" t="s">
        <v>118</v>
      </c>
      <c r="C317" s="9" t="s">
        <v>2015</v>
      </c>
      <c r="D317" t="s">
        <v>866</v>
      </c>
      <c r="E317">
        <v>0</v>
      </c>
      <c r="F317" t="s">
        <v>867</v>
      </c>
      <c r="G317" t="s">
        <v>2014</v>
      </c>
      <c r="H317" s="9" t="s">
        <v>66</v>
      </c>
      <c r="I317" s="8">
        <v>0</v>
      </c>
      <c r="J317" s="69"/>
      <c r="K317" t="s">
        <v>1571</v>
      </c>
    </row>
    <row r="318" spans="1:11" x14ac:dyDescent="0.25">
      <c r="A318" s="5" t="s">
        <v>22</v>
      </c>
      <c r="B318" t="s">
        <v>118</v>
      </c>
      <c r="C318" s="9" t="s">
        <v>2013</v>
      </c>
      <c r="D318" t="s">
        <v>886</v>
      </c>
      <c r="E318">
        <v>0</v>
      </c>
      <c r="F318" t="s">
        <v>848</v>
      </c>
      <c r="G318" t="s">
        <v>2014</v>
      </c>
      <c r="H318" s="9" t="s">
        <v>66</v>
      </c>
      <c r="I318" s="8">
        <v>0</v>
      </c>
      <c r="J318" s="69"/>
      <c r="K318" t="s">
        <v>1571</v>
      </c>
    </row>
    <row r="319" spans="1:11" x14ac:dyDescent="0.25">
      <c r="A319" s="5" t="s">
        <v>22</v>
      </c>
      <c r="B319" t="s">
        <v>118</v>
      </c>
      <c r="C319" s="9" t="s">
        <v>2016</v>
      </c>
      <c r="D319" t="s">
        <v>773</v>
      </c>
      <c r="E319">
        <v>0</v>
      </c>
      <c r="F319" t="s">
        <v>774</v>
      </c>
      <c r="G319" t="s">
        <v>2014</v>
      </c>
      <c r="H319" s="9">
        <v>250</v>
      </c>
      <c r="I319" s="8">
        <v>0</v>
      </c>
      <c r="J319" s="69"/>
      <c r="K319" t="s">
        <v>1571</v>
      </c>
    </row>
    <row r="320" spans="1:11" x14ac:dyDescent="0.25">
      <c r="A320" s="5" t="s">
        <v>22</v>
      </c>
      <c r="B320" t="s">
        <v>118</v>
      </c>
      <c r="C320" s="9" t="s">
        <v>2015</v>
      </c>
      <c r="D320" t="s">
        <v>868</v>
      </c>
      <c r="E320">
        <v>0</v>
      </c>
      <c r="F320" t="s">
        <v>869</v>
      </c>
      <c r="G320" t="s">
        <v>2014</v>
      </c>
      <c r="H320" s="9" t="s">
        <v>66</v>
      </c>
      <c r="I320" s="8">
        <v>0</v>
      </c>
      <c r="J320" s="69"/>
      <c r="K320" t="s">
        <v>1571</v>
      </c>
    </row>
    <row r="321" spans="1:11" x14ac:dyDescent="0.25">
      <c r="A321" s="5" t="s">
        <v>22</v>
      </c>
      <c r="B321" t="s">
        <v>118</v>
      </c>
      <c r="C321" s="9" t="s">
        <v>2015</v>
      </c>
      <c r="D321" t="s">
        <v>870</v>
      </c>
      <c r="E321">
        <v>0</v>
      </c>
      <c r="F321" t="s">
        <v>871</v>
      </c>
      <c r="G321" t="s">
        <v>2014</v>
      </c>
      <c r="H321" s="9" t="s">
        <v>66</v>
      </c>
      <c r="I321" s="8">
        <v>0</v>
      </c>
      <c r="J321" s="69"/>
      <c r="K321" t="s">
        <v>1571</v>
      </c>
    </row>
    <row r="322" spans="1:11" x14ac:dyDescent="0.25">
      <c r="A322" s="5" t="s">
        <v>22</v>
      </c>
      <c r="B322" t="s">
        <v>118</v>
      </c>
      <c r="C322" s="9" t="s">
        <v>2013</v>
      </c>
      <c r="D322" t="s">
        <v>887</v>
      </c>
      <c r="E322">
        <v>0</v>
      </c>
      <c r="F322" t="s">
        <v>888</v>
      </c>
      <c r="G322" t="s">
        <v>2014</v>
      </c>
      <c r="H322" s="9" t="s">
        <v>66</v>
      </c>
      <c r="I322" s="8">
        <v>0</v>
      </c>
      <c r="J322" s="69"/>
      <c r="K322" t="s">
        <v>1571</v>
      </c>
    </row>
    <row r="323" spans="1:11" x14ac:dyDescent="0.25">
      <c r="A323" s="5" t="s">
        <v>22</v>
      </c>
      <c r="B323" t="s">
        <v>118</v>
      </c>
      <c r="C323" s="9" t="s">
        <v>2015</v>
      </c>
      <c r="D323" t="s">
        <v>872</v>
      </c>
      <c r="E323">
        <v>0</v>
      </c>
      <c r="F323" t="s">
        <v>873</v>
      </c>
      <c r="G323" t="s">
        <v>2014</v>
      </c>
      <c r="H323" s="9" t="s">
        <v>66</v>
      </c>
      <c r="I323" s="8">
        <v>0</v>
      </c>
      <c r="J323" s="69"/>
      <c r="K323" t="s">
        <v>1571</v>
      </c>
    </row>
    <row r="324" spans="1:11" x14ac:dyDescent="0.25">
      <c r="A324" s="5" t="s">
        <v>22</v>
      </c>
      <c r="B324" t="s">
        <v>118</v>
      </c>
      <c r="C324" s="9" t="s">
        <v>2015</v>
      </c>
      <c r="D324" t="s">
        <v>874</v>
      </c>
      <c r="E324">
        <v>0</v>
      </c>
      <c r="F324" t="s">
        <v>873</v>
      </c>
      <c r="G324" t="s">
        <v>2014</v>
      </c>
      <c r="H324" s="9" t="s">
        <v>66</v>
      </c>
      <c r="I324" s="8">
        <v>0</v>
      </c>
      <c r="J324" s="69"/>
      <c r="K324" t="s">
        <v>1571</v>
      </c>
    </row>
    <row r="325" spans="1:11" x14ac:dyDescent="0.25">
      <c r="A325" s="5" t="s">
        <v>22</v>
      </c>
      <c r="B325" t="s">
        <v>118</v>
      </c>
      <c r="C325" s="9" t="s">
        <v>2015</v>
      </c>
      <c r="D325" t="s">
        <v>875</v>
      </c>
      <c r="E325">
        <v>0</v>
      </c>
      <c r="F325" t="s">
        <v>876</v>
      </c>
      <c r="G325" t="s">
        <v>2014</v>
      </c>
      <c r="H325" s="9" t="s">
        <v>66</v>
      </c>
      <c r="I325" s="8">
        <v>0</v>
      </c>
      <c r="J325" s="69"/>
      <c r="K325" t="s">
        <v>1571</v>
      </c>
    </row>
    <row r="326" spans="1:11" x14ac:dyDescent="0.25">
      <c r="A326" s="5" t="s">
        <v>22</v>
      </c>
      <c r="B326" t="s">
        <v>118</v>
      </c>
      <c r="C326" s="9">
        <v>105.87430555555555</v>
      </c>
      <c r="D326" t="s">
        <v>506</v>
      </c>
      <c r="E326">
        <v>0</v>
      </c>
      <c r="F326" t="s">
        <v>507</v>
      </c>
      <c r="G326" t="s">
        <v>2014</v>
      </c>
      <c r="H326" s="9">
        <v>166.66666666666666</v>
      </c>
      <c r="I326" s="8">
        <v>0</v>
      </c>
      <c r="J326" s="69"/>
      <c r="K326" t="s">
        <v>1571</v>
      </c>
    </row>
    <row r="327" spans="1:11" x14ac:dyDescent="0.25">
      <c r="A327" s="5" t="s">
        <v>22</v>
      </c>
      <c r="B327" t="s">
        <v>118</v>
      </c>
      <c r="C327" s="9">
        <v>105.87430555555555</v>
      </c>
      <c r="D327" t="s">
        <v>508</v>
      </c>
      <c r="E327">
        <v>0</v>
      </c>
      <c r="F327" t="s">
        <v>509</v>
      </c>
      <c r="G327" t="s">
        <v>2014</v>
      </c>
      <c r="H327" s="9">
        <v>166.66666666666666</v>
      </c>
      <c r="I327" s="8">
        <v>0</v>
      </c>
      <c r="J327" s="69"/>
      <c r="K327" t="s">
        <v>1571</v>
      </c>
    </row>
    <row r="328" spans="1:11" x14ac:dyDescent="0.25">
      <c r="A328" s="5" t="s">
        <v>22</v>
      </c>
      <c r="B328" t="s">
        <v>118</v>
      </c>
      <c r="C328" s="9" t="s">
        <v>2016</v>
      </c>
      <c r="D328" t="s">
        <v>775</v>
      </c>
      <c r="E328">
        <v>0</v>
      </c>
      <c r="F328" t="s">
        <v>776</v>
      </c>
      <c r="G328" t="s">
        <v>2014</v>
      </c>
      <c r="H328" s="9">
        <v>250</v>
      </c>
      <c r="I328" s="8">
        <v>0</v>
      </c>
      <c r="J328" s="69"/>
      <c r="K328" t="s">
        <v>1571</v>
      </c>
    </row>
    <row r="329" spans="1:11" x14ac:dyDescent="0.25">
      <c r="A329" s="5" t="s">
        <v>22</v>
      </c>
      <c r="B329" t="s">
        <v>118</v>
      </c>
      <c r="C329" s="9">
        <v>13.768750000000001</v>
      </c>
      <c r="D329" t="s">
        <v>326</v>
      </c>
      <c r="E329">
        <v>0</v>
      </c>
      <c r="F329" t="s">
        <v>327</v>
      </c>
      <c r="G329" t="s">
        <v>2014</v>
      </c>
      <c r="H329" t="s">
        <v>66</v>
      </c>
      <c r="I329" s="8">
        <v>0</v>
      </c>
      <c r="J329" s="69"/>
      <c r="K329" t="s">
        <v>1571</v>
      </c>
    </row>
    <row r="330" spans="1:11" x14ac:dyDescent="0.25">
      <c r="A330" s="5" t="s">
        <v>22</v>
      </c>
      <c r="B330" t="s">
        <v>118</v>
      </c>
      <c r="C330" s="9" t="s">
        <v>2016</v>
      </c>
      <c r="D330" t="s">
        <v>767</v>
      </c>
      <c r="E330">
        <v>0</v>
      </c>
      <c r="F330" t="s">
        <v>768</v>
      </c>
      <c r="G330" t="s">
        <v>2014</v>
      </c>
      <c r="H330" s="9">
        <v>291.66666666666669</v>
      </c>
      <c r="I330" s="8">
        <v>0</v>
      </c>
      <c r="J330" s="69"/>
      <c r="K330" t="s">
        <v>1571</v>
      </c>
    </row>
    <row r="331" spans="1:11" x14ac:dyDescent="0.25">
      <c r="A331" s="5" t="s">
        <v>22</v>
      </c>
      <c r="B331" t="s">
        <v>118</v>
      </c>
      <c r="C331" s="9" t="s">
        <v>2016</v>
      </c>
      <c r="D331" t="s">
        <v>769</v>
      </c>
      <c r="E331">
        <v>0</v>
      </c>
      <c r="F331" t="s">
        <v>770</v>
      </c>
      <c r="G331" t="s">
        <v>2014</v>
      </c>
      <c r="H331" s="9">
        <v>291.66666666666669</v>
      </c>
      <c r="I331" s="8">
        <v>0</v>
      </c>
      <c r="J331" s="69"/>
      <c r="K331" t="s">
        <v>1571</v>
      </c>
    </row>
    <row r="332" spans="1:11" x14ac:dyDescent="0.25">
      <c r="A332" s="5" t="s">
        <v>22</v>
      </c>
      <c r="B332" t="s">
        <v>118</v>
      </c>
      <c r="C332" s="9">
        <v>56.619444444444447</v>
      </c>
      <c r="D332" t="s">
        <v>437</v>
      </c>
      <c r="E332">
        <v>0</v>
      </c>
      <c r="F332" t="s">
        <v>438</v>
      </c>
      <c r="G332" t="s">
        <v>2014</v>
      </c>
      <c r="H332" s="9" t="s">
        <v>66</v>
      </c>
      <c r="I332" s="8">
        <v>0</v>
      </c>
      <c r="J332" s="69"/>
      <c r="K332" t="s">
        <v>1571</v>
      </c>
    </row>
    <row r="333" spans="1:11" x14ac:dyDescent="0.25">
      <c r="A333" s="5" t="s">
        <v>22</v>
      </c>
      <c r="B333" t="s">
        <v>118</v>
      </c>
      <c r="C333" s="9">
        <v>55.720833333333331</v>
      </c>
      <c r="D333" t="s">
        <v>435</v>
      </c>
      <c r="E333">
        <v>0</v>
      </c>
      <c r="F333" t="s">
        <v>436</v>
      </c>
      <c r="G333" t="s">
        <v>2014</v>
      </c>
      <c r="H333" s="9" t="s">
        <v>66</v>
      </c>
      <c r="I333" s="8">
        <v>0</v>
      </c>
      <c r="J333" s="69"/>
      <c r="K333" t="s">
        <v>1571</v>
      </c>
    </row>
    <row r="334" spans="1:11" x14ac:dyDescent="0.25">
      <c r="A334" s="5" t="s">
        <v>22</v>
      </c>
      <c r="B334" t="s">
        <v>118</v>
      </c>
      <c r="C334" s="9" t="s">
        <v>2016</v>
      </c>
      <c r="D334" t="s">
        <v>771</v>
      </c>
      <c r="E334">
        <v>0</v>
      </c>
      <c r="F334" t="s">
        <v>772</v>
      </c>
      <c r="G334" t="s">
        <v>2014</v>
      </c>
      <c r="H334" s="9">
        <v>291.66666666666669</v>
      </c>
      <c r="I334" s="8">
        <v>0</v>
      </c>
      <c r="J334" s="69"/>
      <c r="K334" t="s">
        <v>1571</v>
      </c>
    </row>
    <row r="335" spans="1:11" x14ac:dyDescent="0.25">
      <c r="A335" s="5" t="s">
        <v>22</v>
      </c>
      <c r="B335" t="s">
        <v>118</v>
      </c>
      <c r="C335" s="9" t="s">
        <v>2020</v>
      </c>
      <c r="D335" t="s">
        <v>664</v>
      </c>
      <c r="E335">
        <v>0</v>
      </c>
      <c r="F335" t="s">
        <v>665</v>
      </c>
      <c r="G335" t="s">
        <v>2014</v>
      </c>
      <c r="H335" s="9">
        <v>291.66666666666669</v>
      </c>
      <c r="I335" s="8">
        <v>0</v>
      </c>
      <c r="J335" s="69"/>
      <c r="K335" t="s">
        <v>1571</v>
      </c>
    </row>
    <row r="336" spans="1:11" x14ac:dyDescent="0.25">
      <c r="A336" s="5" t="s">
        <v>22</v>
      </c>
      <c r="B336" t="s">
        <v>118</v>
      </c>
      <c r="C336" s="9" t="s">
        <v>2021</v>
      </c>
      <c r="D336" t="s">
        <v>777</v>
      </c>
      <c r="E336">
        <v>0</v>
      </c>
      <c r="F336" t="s">
        <v>778</v>
      </c>
      <c r="G336" t="s">
        <v>2014</v>
      </c>
      <c r="H336" s="9">
        <v>291.66666666666669</v>
      </c>
      <c r="I336" s="8">
        <v>0</v>
      </c>
      <c r="J336" s="69"/>
      <c r="K336" t="s">
        <v>1571</v>
      </c>
    </row>
    <row r="337" spans="1:11" x14ac:dyDescent="0.25">
      <c r="A337" s="5" t="s">
        <v>22</v>
      </c>
      <c r="B337" t="s">
        <v>118</v>
      </c>
      <c r="C337" s="9">
        <v>64.877083333333331</v>
      </c>
      <c r="D337" t="s">
        <v>449</v>
      </c>
      <c r="E337">
        <v>0</v>
      </c>
      <c r="F337" t="s">
        <v>450</v>
      </c>
      <c r="G337" t="s">
        <v>2014</v>
      </c>
      <c r="H337" s="9">
        <v>83.333333333333329</v>
      </c>
      <c r="I337" s="8">
        <v>0</v>
      </c>
      <c r="J337" s="69"/>
      <c r="K337" t="s">
        <v>1571</v>
      </c>
    </row>
    <row r="338" spans="1:11" x14ac:dyDescent="0.25">
      <c r="A338" s="5" t="s">
        <v>22</v>
      </c>
      <c r="B338" t="s">
        <v>118</v>
      </c>
      <c r="C338" s="9">
        <v>64.877083333333331</v>
      </c>
      <c r="D338" t="s">
        <v>451</v>
      </c>
      <c r="E338">
        <v>0</v>
      </c>
      <c r="F338" t="s">
        <v>452</v>
      </c>
      <c r="G338" t="s">
        <v>2014</v>
      </c>
      <c r="H338" s="9">
        <v>83.333333333333329</v>
      </c>
      <c r="I338" s="8">
        <v>0</v>
      </c>
      <c r="J338" s="69"/>
      <c r="K338" t="s">
        <v>1571</v>
      </c>
    </row>
    <row r="339" spans="1:11" x14ac:dyDescent="0.25">
      <c r="A339" s="5" t="s">
        <v>22</v>
      </c>
      <c r="B339" t="s">
        <v>118</v>
      </c>
      <c r="C339" s="9">
        <v>13.768750000000001</v>
      </c>
      <c r="D339" t="s">
        <v>328</v>
      </c>
      <c r="E339">
        <v>0</v>
      </c>
      <c r="F339" t="s">
        <v>329</v>
      </c>
      <c r="G339" t="s">
        <v>2014</v>
      </c>
      <c r="H339" s="9" t="s">
        <v>66</v>
      </c>
      <c r="I339" s="8">
        <v>0</v>
      </c>
      <c r="J339" s="69"/>
      <c r="K339" t="s">
        <v>1571</v>
      </c>
    </row>
    <row r="340" spans="1:11" x14ac:dyDescent="0.25">
      <c r="A340" s="5" t="s">
        <v>22</v>
      </c>
      <c r="B340" t="s">
        <v>118</v>
      </c>
      <c r="C340" s="9">
        <v>13.768750000000001</v>
      </c>
      <c r="D340" t="s">
        <v>330</v>
      </c>
      <c r="E340">
        <v>0</v>
      </c>
      <c r="F340" t="s">
        <v>331</v>
      </c>
      <c r="G340" t="s">
        <v>2014</v>
      </c>
      <c r="H340" s="9" t="s">
        <v>66</v>
      </c>
      <c r="I340" s="8">
        <v>0</v>
      </c>
      <c r="J340" s="69"/>
      <c r="K340" t="s">
        <v>1571</v>
      </c>
    </row>
    <row r="341" spans="1:11" x14ac:dyDescent="0.25">
      <c r="A341" s="5" t="s">
        <v>22</v>
      </c>
      <c r="B341" t="s">
        <v>118</v>
      </c>
      <c r="C341" s="9" t="s">
        <v>2022</v>
      </c>
      <c r="D341" t="s">
        <v>668</v>
      </c>
      <c r="E341">
        <v>0</v>
      </c>
      <c r="F341" t="s">
        <v>669</v>
      </c>
      <c r="G341" t="s">
        <v>2014</v>
      </c>
      <c r="H341" s="9">
        <v>104.16666666666667</v>
      </c>
      <c r="I341" s="8">
        <v>0</v>
      </c>
      <c r="J341" s="69"/>
      <c r="K341" t="s">
        <v>1571</v>
      </c>
    </row>
    <row r="342" spans="1:11" x14ac:dyDescent="0.25">
      <c r="A342" s="5" t="s">
        <v>22</v>
      </c>
      <c r="B342" t="s">
        <v>118</v>
      </c>
      <c r="C342" s="9" t="s">
        <v>2022</v>
      </c>
      <c r="D342" t="s">
        <v>670</v>
      </c>
      <c r="E342">
        <v>0</v>
      </c>
      <c r="F342" t="s">
        <v>671</v>
      </c>
      <c r="G342" t="s">
        <v>2014</v>
      </c>
      <c r="H342" s="9">
        <v>104.16666666666667</v>
      </c>
      <c r="I342" s="8">
        <v>0</v>
      </c>
      <c r="J342" s="69"/>
      <c r="K342" t="s">
        <v>1571</v>
      </c>
    </row>
    <row r="343" spans="1:11" x14ac:dyDescent="0.25">
      <c r="A343" s="5" t="s">
        <v>22</v>
      </c>
      <c r="B343" t="s">
        <v>118</v>
      </c>
      <c r="C343" s="9" t="s">
        <v>2015</v>
      </c>
      <c r="D343" t="s">
        <v>877</v>
      </c>
      <c r="E343">
        <v>0</v>
      </c>
      <c r="F343" t="s">
        <v>878</v>
      </c>
      <c r="G343" t="s">
        <v>2014</v>
      </c>
      <c r="H343" s="9" t="s">
        <v>66</v>
      </c>
      <c r="I343" s="8">
        <v>0</v>
      </c>
      <c r="J343" s="69"/>
      <c r="K343" t="s">
        <v>1571</v>
      </c>
    </row>
    <row r="344" spans="1:11" x14ac:dyDescent="0.25">
      <c r="A344" s="5" t="s">
        <v>22</v>
      </c>
      <c r="B344" t="s">
        <v>118</v>
      </c>
      <c r="C344" s="9" t="s">
        <v>2015</v>
      </c>
      <c r="D344" t="s">
        <v>879</v>
      </c>
      <c r="E344">
        <v>0</v>
      </c>
      <c r="F344" t="s">
        <v>880</v>
      </c>
      <c r="G344" t="s">
        <v>2014</v>
      </c>
      <c r="H344" s="9" t="s">
        <v>66</v>
      </c>
      <c r="I344" s="8">
        <v>0</v>
      </c>
      <c r="J344" s="69"/>
      <c r="K344" t="s">
        <v>1571</v>
      </c>
    </row>
    <row r="345" spans="1:11" x14ac:dyDescent="0.25">
      <c r="A345" s="5" t="s">
        <v>22</v>
      </c>
      <c r="B345" t="s">
        <v>118</v>
      </c>
      <c r="C345" s="9" t="s">
        <v>2015</v>
      </c>
      <c r="D345" t="s">
        <v>881</v>
      </c>
      <c r="E345">
        <v>0</v>
      </c>
      <c r="F345" t="s">
        <v>882</v>
      </c>
      <c r="G345" t="s">
        <v>2014</v>
      </c>
      <c r="H345" s="9" t="s">
        <v>66</v>
      </c>
      <c r="I345" s="8">
        <v>0</v>
      </c>
      <c r="J345" s="69"/>
      <c r="K345" t="s">
        <v>1571</v>
      </c>
    </row>
    <row r="346" spans="1:11" x14ac:dyDescent="0.25">
      <c r="A346" s="5" t="s">
        <v>22</v>
      </c>
      <c r="B346" t="s">
        <v>118</v>
      </c>
      <c r="C346" s="9" t="s">
        <v>2015</v>
      </c>
      <c r="D346" t="s">
        <v>883</v>
      </c>
      <c r="E346">
        <v>0</v>
      </c>
      <c r="F346" t="s">
        <v>884</v>
      </c>
      <c r="G346" t="s">
        <v>2014</v>
      </c>
      <c r="H346" s="9" t="s">
        <v>66</v>
      </c>
      <c r="I346" s="8">
        <v>0</v>
      </c>
      <c r="J346" s="69"/>
      <c r="K346" t="s">
        <v>1571</v>
      </c>
    </row>
    <row r="347" spans="1:11" x14ac:dyDescent="0.25">
      <c r="A347" s="5" t="s">
        <v>22</v>
      </c>
      <c r="B347" t="s">
        <v>118</v>
      </c>
      <c r="C347" s="9">
        <v>44.106250000000003</v>
      </c>
      <c r="D347" t="s">
        <v>430</v>
      </c>
      <c r="E347">
        <v>0</v>
      </c>
      <c r="F347" t="s">
        <v>431</v>
      </c>
      <c r="G347" t="s">
        <v>2014</v>
      </c>
      <c r="H347" s="9">
        <v>208.33333333333334</v>
      </c>
      <c r="I347" s="8">
        <v>0</v>
      </c>
      <c r="J347" s="69"/>
      <c r="K347" t="s">
        <v>1571</v>
      </c>
    </row>
    <row r="348" spans="1:11" x14ac:dyDescent="0.25">
      <c r="A348" s="5" t="s">
        <v>22</v>
      </c>
      <c r="B348" t="s">
        <v>118</v>
      </c>
      <c r="C348" s="9" t="s">
        <v>2021</v>
      </c>
      <c r="D348" t="s">
        <v>779</v>
      </c>
      <c r="E348">
        <v>0</v>
      </c>
      <c r="F348" t="s">
        <v>780</v>
      </c>
      <c r="G348" t="s">
        <v>2014</v>
      </c>
      <c r="H348" s="9" t="s">
        <v>66</v>
      </c>
      <c r="I348" s="8">
        <v>0</v>
      </c>
      <c r="J348" s="69"/>
      <c r="K348" t="s">
        <v>1571</v>
      </c>
    </row>
    <row r="349" spans="1:11" x14ac:dyDescent="0.25">
      <c r="A349" s="5" t="s">
        <v>22</v>
      </c>
      <c r="B349" t="s">
        <v>118</v>
      </c>
      <c r="C349" s="9" t="s">
        <v>2021</v>
      </c>
      <c r="D349" t="s">
        <v>781</v>
      </c>
      <c r="E349">
        <v>0</v>
      </c>
      <c r="F349" t="s">
        <v>782</v>
      </c>
      <c r="G349" t="s">
        <v>2014</v>
      </c>
      <c r="H349" s="9" t="s">
        <v>66</v>
      </c>
      <c r="I349" s="8">
        <v>0</v>
      </c>
      <c r="J349" s="69"/>
      <c r="K349" t="s">
        <v>1571</v>
      </c>
    </row>
    <row r="350" spans="1:11" x14ac:dyDescent="0.25">
      <c r="A350" s="5" t="s">
        <v>22</v>
      </c>
      <c r="B350" t="s">
        <v>118</v>
      </c>
      <c r="C350" s="9" t="s">
        <v>2021</v>
      </c>
      <c r="D350" t="s">
        <v>783</v>
      </c>
      <c r="E350">
        <v>0</v>
      </c>
      <c r="F350" t="s">
        <v>784</v>
      </c>
      <c r="G350" t="s">
        <v>2014</v>
      </c>
      <c r="H350" t="s">
        <v>66</v>
      </c>
      <c r="I350" s="8">
        <v>0</v>
      </c>
      <c r="J350" s="69"/>
      <c r="K350" t="s">
        <v>1571</v>
      </c>
    </row>
    <row r="351" spans="1:11" x14ac:dyDescent="0.25">
      <c r="A351" s="5" t="s">
        <v>22</v>
      </c>
      <c r="B351" t="s">
        <v>118</v>
      </c>
      <c r="C351" s="9" t="s">
        <v>2023</v>
      </c>
      <c r="D351" t="s">
        <v>674</v>
      </c>
      <c r="E351">
        <v>0</v>
      </c>
      <c r="F351" t="s">
        <v>675</v>
      </c>
      <c r="G351" t="s">
        <v>2014</v>
      </c>
      <c r="H351" t="s">
        <v>66</v>
      </c>
      <c r="I351" s="8">
        <v>0</v>
      </c>
      <c r="J351" s="69"/>
      <c r="K351" t="s">
        <v>1571</v>
      </c>
    </row>
    <row r="352" spans="1:11" x14ac:dyDescent="0.25">
      <c r="A352" s="5" t="s">
        <v>22</v>
      </c>
      <c r="B352" t="s">
        <v>118</v>
      </c>
      <c r="C352" s="9">
        <v>13.768750000000001</v>
      </c>
      <c r="D352" t="s">
        <v>332</v>
      </c>
      <c r="E352">
        <v>0</v>
      </c>
      <c r="F352" t="s">
        <v>333</v>
      </c>
      <c r="G352" t="s">
        <v>2014</v>
      </c>
      <c r="H352" t="s">
        <v>66</v>
      </c>
      <c r="I352" s="8">
        <v>0</v>
      </c>
      <c r="J352" s="69"/>
      <c r="K352" t="s">
        <v>1571</v>
      </c>
    </row>
    <row r="353" spans="1:11" x14ac:dyDescent="0.25">
      <c r="A353" s="5" t="s">
        <v>22</v>
      </c>
      <c r="B353" t="s">
        <v>118</v>
      </c>
      <c r="C353" s="9">
        <v>64.877083333333331</v>
      </c>
      <c r="D353" t="s">
        <v>453</v>
      </c>
      <c r="E353">
        <v>0</v>
      </c>
      <c r="F353" t="s">
        <v>454</v>
      </c>
      <c r="G353" t="s">
        <v>2014</v>
      </c>
      <c r="H353" t="s">
        <v>66</v>
      </c>
      <c r="I353" s="8">
        <v>0</v>
      </c>
      <c r="J353" s="69"/>
      <c r="K353" t="s">
        <v>1571</v>
      </c>
    </row>
    <row r="354" spans="1:11" x14ac:dyDescent="0.25">
      <c r="A354" s="5" t="s">
        <v>22</v>
      </c>
      <c r="B354" t="s">
        <v>118</v>
      </c>
      <c r="C354" s="9">
        <v>13.768750000000001</v>
      </c>
      <c r="D354" t="s">
        <v>334</v>
      </c>
      <c r="E354">
        <v>0</v>
      </c>
      <c r="F354" t="s">
        <v>335</v>
      </c>
      <c r="G354" t="s">
        <v>2014</v>
      </c>
      <c r="H354" s="9" t="s">
        <v>66</v>
      </c>
      <c r="I354" s="8">
        <v>0</v>
      </c>
      <c r="J354" s="69"/>
      <c r="K354" t="s">
        <v>1571</v>
      </c>
    </row>
    <row r="355" spans="1:11" x14ac:dyDescent="0.25">
      <c r="A355" s="5" t="s">
        <v>22</v>
      </c>
      <c r="B355" t="s">
        <v>118</v>
      </c>
      <c r="C355" s="9">
        <v>13.768750000000001</v>
      </c>
      <c r="D355" t="s">
        <v>336</v>
      </c>
      <c r="E355">
        <v>0</v>
      </c>
      <c r="F355" t="s">
        <v>337</v>
      </c>
      <c r="G355" t="s">
        <v>2014</v>
      </c>
      <c r="H355" s="9" t="s">
        <v>66</v>
      </c>
      <c r="I355" s="8">
        <v>0</v>
      </c>
      <c r="J355" s="69"/>
      <c r="K355" t="s">
        <v>1571</v>
      </c>
    </row>
    <row r="356" spans="1:11" x14ac:dyDescent="0.25">
      <c r="A356" s="5" t="s">
        <v>22</v>
      </c>
      <c r="B356" t="s">
        <v>118</v>
      </c>
      <c r="C356" s="9">
        <v>163.74305555555554</v>
      </c>
      <c r="D356" t="s">
        <v>545</v>
      </c>
      <c r="E356">
        <v>0</v>
      </c>
      <c r="F356" t="s">
        <v>546</v>
      </c>
      <c r="G356" t="s">
        <v>2014</v>
      </c>
      <c r="H356" t="s">
        <v>66</v>
      </c>
      <c r="I356" s="8">
        <v>0</v>
      </c>
      <c r="J356" s="69"/>
      <c r="K356" t="s">
        <v>1571</v>
      </c>
    </row>
    <row r="357" spans="1:11" x14ac:dyDescent="0.25">
      <c r="A357" s="5" t="s">
        <v>22</v>
      </c>
      <c r="B357" t="s">
        <v>118</v>
      </c>
      <c r="C357" s="9">
        <v>5.3756944444444441</v>
      </c>
      <c r="D357" t="s">
        <v>235</v>
      </c>
      <c r="E357">
        <v>0</v>
      </c>
      <c r="F357" t="s">
        <v>236</v>
      </c>
      <c r="G357" t="s">
        <v>2014</v>
      </c>
      <c r="H357" t="s">
        <v>66</v>
      </c>
      <c r="I357" s="8">
        <v>0</v>
      </c>
      <c r="J357" s="69"/>
      <c r="K357" t="s">
        <v>1571</v>
      </c>
    </row>
    <row r="358" spans="1:11" x14ac:dyDescent="0.25">
      <c r="A358" s="5" t="s">
        <v>22</v>
      </c>
      <c r="B358" t="s">
        <v>118</v>
      </c>
      <c r="C358" s="9">
        <v>5.8944444444444448</v>
      </c>
      <c r="D358" t="s">
        <v>237</v>
      </c>
      <c r="E358">
        <v>0</v>
      </c>
      <c r="F358" t="s">
        <v>238</v>
      </c>
      <c r="G358" t="s">
        <v>2014</v>
      </c>
      <c r="H358" t="s">
        <v>66</v>
      </c>
      <c r="I358" s="8">
        <v>0</v>
      </c>
      <c r="J358" s="69"/>
      <c r="K358" t="s">
        <v>1571</v>
      </c>
    </row>
    <row r="359" spans="1:11" x14ac:dyDescent="0.25">
      <c r="A359" s="5" t="s">
        <v>22</v>
      </c>
      <c r="B359" t="s">
        <v>118</v>
      </c>
      <c r="C359" s="9" t="s">
        <v>2024</v>
      </c>
      <c r="D359" t="s">
        <v>816</v>
      </c>
      <c r="E359">
        <v>0</v>
      </c>
      <c r="F359" t="s">
        <v>817</v>
      </c>
      <c r="G359" t="s">
        <v>2014</v>
      </c>
      <c r="H359" t="s">
        <v>66</v>
      </c>
      <c r="I359" s="8">
        <v>0</v>
      </c>
      <c r="J359" s="69"/>
      <c r="K359" t="s">
        <v>1571</v>
      </c>
    </row>
    <row r="360" spans="1:11" x14ac:dyDescent="0.25">
      <c r="A360" s="5" t="s">
        <v>22</v>
      </c>
      <c r="B360" t="s">
        <v>118</v>
      </c>
      <c r="C360" s="9" t="s">
        <v>2024</v>
      </c>
      <c r="D360" t="s">
        <v>818</v>
      </c>
      <c r="E360">
        <v>0</v>
      </c>
      <c r="F360" t="s">
        <v>819</v>
      </c>
      <c r="G360" t="s">
        <v>2014</v>
      </c>
      <c r="H360" t="s">
        <v>66</v>
      </c>
      <c r="I360" s="8">
        <v>0</v>
      </c>
      <c r="J360" s="69"/>
      <c r="K360" t="s">
        <v>1571</v>
      </c>
    </row>
    <row r="361" spans="1:11" x14ac:dyDescent="0.25">
      <c r="A361" s="5" t="s">
        <v>22</v>
      </c>
      <c r="B361" t="s">
        <v>118</v>
      </c>
      <c r="C361" s="9" t="s">
        <v>2024</v>
      </c>
      <c r="D361" t="s">
        <v>820</v>
      </c>
      <c r="E361">
        <v>0</v>
      </c>
      <c r="F361" t="s">
        <v>821</v>
      </c>
      <c r="G361" t="s">
        <v>2014</v>
      </c>
      <c r="H361" t="s">
        <v>66</v>
      </c>
      <c r="I361" s="8">
        <v>0</v>
      </c>
      <c r="J361" s="69"/>
      <c r="K361" t="s">
        <v>1571</v>
      </c>
    </row>
    <row r="362" spans="1:11" x14ac:dyDescent="0.25">
      <c r="A362" s="5" t="s">
        <v>22</v>
      </c>
      <c r="B362" t="s">
        <v>118</v>
      </c>
      <c r="C362" s="9">
        <v>170.93541666666667</v>
      </c>
      <c r="D362" t="s">
        <v>547</v>
      </c>
      <c r="E362">
        <v>0</v>
      </c>
      <c r="F362" t="s">
        <v>548</v>
      </c>
      <c r="G362" t="s">
        <v>2014</v>
      </c>
      <c r="H362" t="s">
        <v>66</v>
      </c>
      <c r="I362" s="8">
        <v>0</v>
      </c>
      <c r="J362" s="69"/>
      <c r="K362" t="s">
        <v>1571</v>
      </c>
    </row>
    <row r="363" spans="1:11" x14ac:dyDescent="0.25">
      <c r="A363" s="5" t="s">
        <v>22</v>
      </c>
      <c r="B363" t="s">
        <v>118</v>
      </c>
      <c r="C363" s="9">
        <v>44.012500000000003</v>
      </c>
      <c r="D363" t="s">
        <v>424</v>
      </c>
      <c r="E363">
        <v>0</v>
      </c>
      <c r="F363" t="s">
        <v>425</v>
      </c>
      <c r="G363" t="s">
        <v>2014</v>
      </c>
      <c r="H363" t="s">
        <v>66</v>
      </c>
      <c r="I363" s="8">
        <v>0</v>
      </c>
      <c r="J363" s="69"/>
      <c r="K363" t="s">
        <v>1571</v>
      </c>
    </row>
    <row r="364" spans="1:11" x14ac:dyDescent="0.25">
      <c r="A364" s="5" t="s">
        <v>22</v>
      </c>
      <c r="B364" t="s">
        <v>118</v>
      </c>
      <c r="C364" s="9">
        <v>44.012500000000003</v>
      </c>
      <c r="D364" t="s">
        <v>426</v>
      </c>
      <c r="E364">
        <v>0</v>
      </c>
      <c r="F364" t="s">
        <v>427</v>
      </c>
      <c r="G364" t="s">
        <v>2014</v>
      </c>
      <c r="H364" t="s">
        <v>66</v>
      </c>
      <c r="I364" s="8">
        <v>0</v>
      </c>
      <c r="J364" s="69"/>
      <c r="K364" t="s">
        <v>1571</v>
      </c>
    </row>
    <row r="365" spans="1:11" x14ac:dyDescent="0.25">
      <c r="A365" s="5" t="s">
        <v>22</v>
      </c>
      <c r="B365" t="s">
        <v>118</v>
      </c>
      <c r="C365" s="9" t="s">
        <v>2025</v>
      </c>
      <c r="D365" t="s">
        <v>745</v>
      </c>
      <c r="E365">
        <v>0</v>
      </c>
      <c r="F365" t="s">
        <v>746</v>
      </c>
      <c r="G365" t="s">
        <v>2014</v>
      </c>
      <c r="H365" t="s">
        <v>66</v>
      </c>
      <c r="I365" s="8">
        <v>0</v>
      </c>
      <c r="J365" s="69"/>
      <c r="K365" t="s">
        <v>1571</v>
      </c>
    </row>
    <row r="366" spans="1:11" x14ac:dyDescent="0.25">
      <c r="A366" s="5" t="s">
        <v>22</v>
      </c>
      <c r="B366" t="s">
        <v>118</v>
      </c>
      <c r="C366" s="9" t="s">
        <v>2026</v>
      </c>
      <c r="D366" t="s">
        <v>741</v>
      </c>
      <c r="E366">
        <v>0</v>
      </c>
      <c r="F366" t="s">
        <v>742</v>
      </c>
      <c r="G366" t="s">
        <v>2014</v>
      </c>
      <c r="H366" s="9" t="s">
        <v>66</v>
      </c>
      <c r="I366" s="8">
        <v>0</v>
      </c>
      <c r="J366" s="69"/>
      <c r="K366" t="s">
        <v>1571</v>
      </c>
    </row>
    <row r="367" spans="1:11" x14ac:dyDescent="0.25">
      <c r="A367" s="5" t="s">
        <v>22</v>
      </c>
      <c r="B367" t="s">
        <v>118</v>
      </c>
      <c r="C367" s="9" t="s">
        <v>2026</v>
      </c>
      <c r="D367" t="s">
        <v>743</v>
      </c>
      <c r="E367">
        <v>0</v>
      </c>
      <c r="F367" t="s">
        <v>744</v>
      </c>
      <c r="G367" t="s">
        <v>2014</v>
      </c>
      <c r="H367" s="9" t="s">
        <v>66</v>
      </c>
      <c r="I367" s="8">
        <v>0</v>
      </c>
      <c r="J367" s="69"/>
      <c r="K367" t="s">
        <v>1571</v>
      </c>
    </row>
    <row r="368" spans="1:11" x14ac:dyDescent="0.25">
      <c r="A368" s="5" t="s">
        <v>22</v>
      </c>
      <c r="B368" t="s">
        <v>118</v>
      </c>
      <c r="C368" s="9" t="s">
        <v>2025</v>
      </c>
      <c r="D368" t="s">
        <v>747</v>
      </c>
      <c r="E368">
        <v>0</v>
      </c>
      <c r="F368" t="s">
        <v>748</v>
      </c>
      <c r="G368" t="s">
        <v>2014</v>
      </c>
      <c r="H368" s="9" t="s">
        <v>66</v>
      </c>
      <c r="I368" s="8">
        <v>0</v>
      </c>
      <c r="J368" s="69"/>
      <c r="K368" t="s">
        <v>1571</v>
      </c>
    </row>
    <row r="369" spans="1:11" x14ac:dyDescent="0.25">
      <c r="A369" s="5" t="s">
        <v>22</v>
      </c>
      <c r="B369" t="s">
        <v>118</v>
      </c>
      <c r="C369" s="9" t="s">
        <v>2025</v>
      </c>
      <c r="D369" t="s">
        <v>749</v>
      </c>
      <c r="E369">
        <v>0</v>
      </c>
      <c r="F369" t="s">
        <v>750</v>
      </c>
      <c r="G369" t="s">
        <v>2014</v>
      </c>
      <c r="H369" s="9" t="s">
        <v>66</v>
      </c>
      <c r="I369" s="8">
        <v>0</v>
      </c>
      <c r="J369" s="69"/>
      <c r="K369" t="s">
        <v>1571</v>
      </c>
    </row>
    <row r="370" spans="1:11" x14ac:dyDescent="0.25">
      <c r="A370" s="5" t="s">
        <v>22</v>
      </c>
      <c r="B370" t="s">
        <v>118</v>
      </c>
      <c r="C370" s="9" t="s">
        <v>2025</v>
      </c>
      <c r="D370" t="s">
        <v>751</v>
      </c>
      <c r="E370">
        <v>0</v>
      </c>
      <c r="F370" t="s">
        <v>752</v>
      </c>
      <c r="G370" t="s">
        <v>2014</v>
      </c>
      <c r="H370" s="9" t="s">
        <v>66</v>
      </c>
      <c r="I370" s="8">
        <v>0</v>
      </c>
      <c r="J370" s="69"/>
      <c r="K370" t="s">
        <v>1571</v>
      </c>
    </row>
    <row r="371" spans="1:11" x14ac:dyDescent="0.25">
      <c r="A371" s="5" t="s">
        <v>22</v>
      </c>
      <c r="B371" t="s">
        <v>118</v>
      </c>
      <c r="C371" s="9" t="s">
        <v>2025</v>
      </c>
      <c r="D371" t="s">
        <v>753</v>
      </c>
      <c r="E371">
        <v>0</v>
      </c>
      <c r="F371" t="s">
        <v>754</v>
      </c>
      <c r="G371" t="s">
        <v>2014</v>
      </c>
      <c r="H371" s="9" t="s">
        <v>66</v>
      </c>
      <c r="I371" s="8">
        <v>0</v>
      </c>
      <c r="J371" s="69"/>
      <c r="K371" t="s">
        <v>1571</v>
      </c>
    </row>
    <row r="372" spans="1:11" x14ac:dyDescent="0.25">
      <c r="A372" s="5" t="s">
        <v>22</v>
      </c>
      <c r="B372" t="s">
        <v>118</v>
      </c>
      <c r="C372" s="9" t="s">
        <v>2025</v>
      </c>
      <c r="D372" t="s">
        <v>755</v>
      </c>
      <c r="E372">
        <v>0</v>
      </c>
      <c r="F372" t="s">
        <v>756</v>
      </c>
      <c r="G372" t="s">
        <v>2014</v>
      </c>
      <c r="H372" s="9" t="s">
        <v>38</v>
      </c>
      <c r="I372" s="8">
        <v>0</v>
      </c>
      <c r="J372" s="69"/>
      <c r="K372" t="s">
        <v>1571</v>
      </c>
    </row>
    <row r="373" spans="1:11" x14ac:dyDescent="0.25">
      <c r="A373" s="5" t="s">
        <v>22</v>
      </c>
      <c r="B373" t="s">
        <v>118</v>
      </c>
      <c r="C373" s="9" t="s">
        <v>2027</v>
      </c>
      <c r="D373" t="s">
        <v>889</v>
      </c>
      <c r="E373">
        <v>0</v>
      </c>
      <c r="F373" t="s">
        <v>756</v>
      </c>
      <c r="G373" t="s">
        <v>2014</v>
      </c>
      <c r="H373" s="9" t="s">
        <v>38</v>
      </c>
      <c r="I373" s="8">
        <v>0</v>
      </c>
      <c r="J373" s="69"/>
      <c r="K373" t="s">
        <v>1571</v>
      </c>
    </row>
    <row r="374" spans="1:11" x14ac:dyDescent="0.25">
      <c r="A374" s="5" t="s">
        <v>22</v>
      </c>
      <c r="B374" t="s">
        <v>118</v>
      </c>
      <c r="C374" s="9" t="s">
        <v>2025</v>
      </c>
      <c r="D374" t="s">
        <v>757</v>
      </c>
      <c r="E374">
        <v>0</v>
      </c>
      <c r="F374" t="s">
        <v>756</v>
      </c>
      <c r="G374" t="s">
        <v>2014</v>
      </c>
      <c r="H374" s="9" t="s">
        <v>758</v>
      </c>
      <c r="I374" s="8">
        <v>0</v>
      </c>
      <c r="J374" s="69"/>
      <c r="K374" t="s">
        <v>1571</v>
      </c>
    </row>
    <row r="375" spans="1:11" x14ac:dyDescent="0.25">
      <c r="A375" s="5" t="s">
        <v>22</v>
      </c>
      <c r="B375" t="s">
        <v>118</v>
      </c>
      <c r="C375" s="9" t="s">
        <v>2025</v>
      </c>
      <c r="D375" t="s">
        <v>759</v>
      </c>
      <c r="E375">
        <v>0</v>
      </c>
      <c r="F375" t="s">
        <v>760</v>
      </c>
      <c r="G375" t="s">
        <v>2014</v>
      </c>
      <c r="H375" s="9" t="s">
        <v>66</v>
      </c>
      <c r="I375" s="8">
        <v>0</v>
      </c>
      <c r="J375" s="69"/>
      <c r="K375" t="s">
        <v>1571</v>
      </c>
    </row>
    <row r="376" spans="1:11" x14ac:dyDescent="0.25">
      <c r="A376" s="5" t="s">
        <v>22</v>
      </c>
      <c r="B376" t="s">
        <v>118</v>
      </c>
      <c r="C376" s="9" t="s">
        <v>2028</v>
      </c>
      <c r="D376" t="s">
        <v>845</v>
      </c>
      <c r="E376">
        <v>0</v>
      </c>
      <c r="F376" t="s">
        <v>846</v>
      </c>
      <c r="G376" t="s">
        <v>2014</v>
      </c>
      <c r="H376" s="9" t="s">
        <v>66</v>
      </c>
      <c r="I376" s="8">
        <v>0</v>
      </c>
      <c r="J376" s="69"/>
      <c r="K376" t="s">
        <v>1571</v>
      </c>
    </row>
    <row r="377" spans="1:11" x14ac:dyDescent="0.25">
      <c r="A377" s="5" t="s">
        <v>22</v>
      </c>
      <c r="B377" t="s">
        <v>118</v>
      </c>
      <c r="C377" s="9" t="s">
        <v>2029</v>
      </c>
      <c r="D377" t="s">
        <v>714</v>
      </c>
      <c r="E377">
        <v>0</v>
      </c>
      <c r="F377" t="s">
        <v>715</v>
      </c>
      <c r="G377" t="s">
        <v>2014</v>
      </c>
      <c r="H377" s="9" t="s">
        <v>66</v>
      </c>
      <c r="I377" s="8">
        <v>0</v>
      </c>
      <c r="J377" s="69"/>
      <c r="K377" t="s">
        <v>1571</v>
      </c>
    </row>
    <row r="378" spans="1:11" x14ac:dyDescent="0.25">
      <c r="A378" s="5" t="s">
        <v>22</v>
      </c>
      <c r="B378" t="s">
        <v>118</v>
      </c>
      <c r="C378" s="9">
        <v>13.768750000000001</v>
      </c>
      <c r="D378" t="s">
        <v>338</v>
      </c>
      <c r="E378">
        <v>0</v>
      </c>
      <c r="F378" t="s">
        <v>339</v>
      </c>
      <c r="G378" t="s">
        <v>2014</v>
      </c>
      <c r="H378" s="9">
        <v>83.333333333333329</v>
      </c>
      <c r="I378" s="8">
        <v>0</v>
      </c>
      <c r="J378" s="69"/>
      <c r="K378" t="s">
        <v>1571</v>
      </c>
    </row>
    <row r="379" spans="1:11" x14ac:dyDescent="0.25">
      <c r="A379" s="5" t="s">
        <v>22</v>
      </c>
      <c r="B379" t="s">
        <v>118</v>
      </c>
      <c r="C379" s="9">
        <v>2.0833333333333335</v>
      </c>
      <c r="D379" t="s">
        <v>161</v>
      </c>
      <c r="E379">
        <v>0</v>
      </c>
      <c r="F379" t="s">
        <v>162</v>
      </c>
      <c r="G379" t="s">
        <v>2014</v>
      </c>
      <c r="H379" s="9">
        <v>2.0833333333333335</v>
      </c>
      <c r="I379" s="8">
        <v>0</v>
      </c>
      <c r="J379" s="69"/>
      <c r="K379" t="s">
        <v>1571</v>
      </c>
    </row>
    <row r="380" spans="1:11" x14ac:dyDescent="0.25">
      <c r="A380" s="5" t="s">
        <v>22</v>
      </c>
      <c r="B380" t="s">
        <v>118</v>
      </c>
      <c r="C380" s="9">
        <v>2.0833333333333335</v>
      </c>
      <c r="D380" t="s">
        <v>163</v>
      </c>
      <c r="E380">
        <v>0</v>
      </c>
      <c r="F380" t="s">
        <v>164</v>
      </c>
      <c r="G380" t="s">
        <v>2014</v>
      </c>
      <c r="H380" s="9">
        <v>2.0833333333333335</v>
      </c>
      <c r="I380" s="8">
        <v>0</v>
      </c>
      <c r="J380" s="69"/>
      <c r="K380" t="s">
        <v>1571</v>
      </c>
    </row>
    <row r="381" spans="1:11" x14ac:dyDescent="0.25">
      <c r="A381" s="5" t="s">
        <v>22</v>
      </c>
      <c r="B381" t="s">
        <v>118</v>
      </c>
      <c r="C381" s="9">
        <v>13.288194444444445</v>
      </c>
      <c r="D381" t="s">
        <v>324</v>
      </c>
      <c r="E381">
        <v>0</v>
      </c>
      <c r="F381" t="s">
        <v>325</v>
      </c>
      <c r="G381" t="s">
        <v>2014</v>
      </c>
      <c r="H381" s="9">
        <v>16.666666666666668</v>
      </c>
      <c r="I381" s="8">
        <v>0</v>
      </c>
      <c r="J381" s="69"/>
      <c r="K381" t="s">
        <v>1571</v>
      </c>
    </row>
    <row r="382" spans="1:11" x14ac:dyDescent="0.25">
      <c r="A382" s="5" t="s">
        <v>22</v>
      </c>
      <c r="B382" t="s">
        <v>118</v>
      </c>
      <c r="C382" s="9">
        <v>5.4666666666666668</v>
      </c>
      <c r="D382" t="s">
        <v>147</v>
      </c>
      <c r="E382">
        <v>0</v>
      </c>
      <c r="F382" t="s">
        <v>148</v>
      </c>
      <c r="G382" t="s">
        <v>2014</v>
      </c>
      <c r="H382" s="9">
        <v>6.25</v>
      </c>
      <c r="I382" s="8">
        <v>0</v>
      </c>
      <c r="J382" s="69"/>
      <c r="K382" t="s">
        <v>1571</v>
      </c>
    </row>
    <row r="383" spans="1:11" x14ac:dyDescent="0.25">
      <c r="A383" s="5" t="s">
        <v>22</v>
      </c>
      <c r="B383" t="s">
        <v>118</v>
      </c>
      <c r="C383" s="9">
        <v>347.10208333333333</v>
      </c>
      <c r="D383" t="s">
        <v>593</v>
      </c>
      <c r="E383">
        <v>0</v>
      </c>
      <c r="F383" t="s">
        <v>594</v>
      </c>
      <c r="G383">
        <v>187</v>
      </c>
      <c r="H383" t="s">
        <v>66</v>
      </c>
      <c r="I383" s="8">
        <v>0</v>
      </c>
      <c r="J383" s="69"/>
      <c r="K383" t="s">
        <v>1571</v>
      </c>
    </row>
    <row r="384" spans="1:11" x14ac:dyDescent="0.25">
      <c r="A384" s="5" t="s">
        <v>22</v>
      </c>
      <c r="B384" t="s">
        <v>118</v>
      </c>
      <c r="C384" s="9" t="s">
        <v>2030</v>
      </c>
      <c r="D384" t="s">
        <v>842</v>
      </c>
      <c r="E384">
        <v>0</v>
      </c>
      <c r="F384" t="s">
        <v>843</v>
      </c>
      <c r="G384" t="s">
        <v>2031</v>
      </c>
      <c r="H384" t="s">
        <v>844</v>
      </c>
      <c r="I384" s="8">
        <v>0</v>
      </c>
      <c r="J384" s="69"/>
      <c r="K384" t="s">
        <v>1571</v>
      </c>
    </row>
    <row r="385" spans="1:11" x14ac:dyDescent="0.25">
      <c r="A385" s="5" t="s">
        <v>22</v>
      </c>
      <c r="B385" t="s">
        <v>118</v>
      </c>
      <c r="C385" s="9" t="s">
        <v>2032</v>
      </c>
      <c r="D385" t="s">
        <v>658</v>
      </c>
      <c r="E385">
        <v>0</v>
      </c>
      <c r="F385" t="s">
        <v>659</v>
      </c>
      <c r="G385" t="s">
        <v>2033</v>
      </c>
      <c r="H385" t="s">
        <v>607</v>
      </c>
      <c r="I385" s="8">
        <v>0</v>
      </c>
      <c r="J385" s="69"/>
      <c r="K385" t="s">
        <v>1571</v>
      </c>
    </row>
    <row r="386" spans="1:11" x14ac:dyDescent="0.25">
      <c r="A386" s="5" t="s">
        <v>22</v>
      </c>
      <c r="B386" t="s">
        <v>118</v>
      </c>
      <c r="C386" s="9">
        <v>70.266666666666666</v>
      </c>
      <c r="D386" t="s">
        <v>2034</v>
      </c>
      <c r="E386">
        <v>0</v>
      </c>
      <c r="F386" t="s">
        <v>2035</v>
      </c>
      <c r="G386" t="s">
        <v>2036</v>
      </c>
      <c r="H386" s="9">
        <v>125</v>
      </c>
      <c r="I386" s="8">
        <v>0</v>
      </c>
      <c r="J386" s="69"/>
      <c r="K386" t="s">
        <v>1571</v>
      </c>
    </row>
    <row r="387" spans="1:11" x14ac:dyDescent="0.25">
      <c r="A387" s="5" t="s">
        <v>22</v>
      </c>
      <c r="B387" t="s">
        <v>118</v>
      </c>
      <c r="C387" s="9">
        <v>24.216666666666665</v>
      </c>
      <c r="D387" t="s">
        <v>138</v>
      </c>
      <c r="E387">
        <v>0</v>
      </c>
      <c r="F387" t="s">
        <v>139</v>
      </c>
      <c r="G387" t="s">
        <v>2036</v>
      </c>
      <c r="H387" s="9">
        <v>25</v>
      </c>
      <c r="I387" s="8">
        <v>0</v>
      </c>
      <c r="J387" s="69"/>
      <c r="K387" t="s">
        <v>1571</v>
      </c>
    </row>
    <row r="388" spans="1:11" x14ac:dyDescent="0.25">
      <c r="A388" s="5" t="s">
        <v>22</v>
      </c>
      <c r="B388" t="s">
        <v>118</v>
      </c>
      <c r="C388" s="9">
        <v>21.351388888888888</v>
      </c>
      <c r="D388" t="s">
        <v>370</v>
      </c>
      <c r="E388">
        <v>0</v>
      </c>
      <c r="F388" t="s">
        <v>371</v>
      </c>
      <c r="G388" t="s">
        <v>2036</v>
      </c>
      <c r="H388" s="9">
        <v>37.5</v>
      </c>
      <c r="I388" s="8">
        <v>0</v>
      </c>
      <c r="J388" s="69"/>
      <c r="K388" t="s">
        <v>1571</v>
      </c>
    </row>
    <row r="389" spans="1:11" x14ac:dyDescent="0.25">
      <c r="A389" s="5" t="s">
        <v>22</v>
      </c>
      <c r="B389" t="s">
        <v>118</v>
      </c>
      <c r="C389" s="9">
        <v>1.0416666666666667</v>
      </c>
      <c r="D389" t="s">
        <v>121</v>
      </c>
      <c r="E389">
        <v>0</v>
      </c>
      <c r="F389" t="s">
        <v>122</v>
      </c>
      <c r="G389" t="s">
        <v>2036</v>
      </c>
      <c r="H389" s="9">
        <v>1.0416666666666667</v>
      </c>
      <c r="I389" s="8">
        <v>0</v>
      </c>
      <c r="J389" s="69"/>
      <c r="K389" t="s">
        <v>1571</v>
      </c>
    </row>
    <row r="390" spans="1:11" x14ac:dyDescent="0.25">
      <c r="A390" s="5" t="s">
        <v>22</v>
      </c>
      <c r="B390" t="s">
        <v>118</v>
      </c>
      <c r="C390" s="9">
        <v>12.286111111111111</v>
      </c>
      <c r="D390" t="s">
        <v>245</v>
      </c>
      <c r="E390">
        <v>0</v>
      </c>
      <c r="F390" t="s">
        <v>246</v>
      </c>
      <c r="G390">
        <v>3764509</v>
      </c>
      <c r="H390" s="9">
        <v>12.5</v>
      </c>
      <c r="I390" s="8">
        <v>0</v>
      </c>
      <c r="J390" s="69"/>
      <c r="K390" t="s">
        <v>1571</v>
      </c>
    </row>
    <row r="391" spans="1:11" x14ac:dyDescent="0.25">
      <c r="A391" s="5" t="s">
        <v>22</v>
      </c>
      <c r="B391" t="s">
        <v>118</v>
      </c>
      <c r="C391" s="9">
        <v>10.736805555555556</v>
      </c>
      <c r="D391" t="s">
        <v>245</v>
      </c>
      <c r="E391">
        <v>0</v>
      </c>
      <c r="F391" t="s">
        <v>246</v>
      </c>
      <c r="G391">
        <v>3514714</v>
      </c>
      <c r="H391" s="9">
        <v>12.5</v>
      </c>
      <c r="I391" s="8">
        <v>0</v>
      </c>
      <c r="J391" s="69"/>
      <c r="K391" t="s">
        <v>1571</v>
      </c>
    </row>
    <row r="392" spans="1:11" x14ac:dyDescent="0.25">
      <c r="A392" s="5" t="s">
        <v>22</v>
      </c>
      <c r="B392" t="s">
        <v>118</v>
      </c>
      <c r="C392" s="9">
        <v>66.318749999999994</v>
      </c>
      <c r="D392" t="s">
        <v>455</v>
      </c>
      <c r="E392">
        <v>0</v>
      </c>
      <c r="F392" t="s">
        <v>456</v>
      </c>
      <c r="G392" t="s">
        <v>2037</v>
      </c>
      <c r="H392" s="9" t="s">
        <v>38</v>
      </c>
      <c r="I392" s="8">
        <v>0</v>
      </c>
      <c r="J392" s="69"/>
      <c r="K392" t="s">
        <v>1571</v>
      </c>
    </row>
    <row r="393" spans="1:11" x14ac:dyDescent="0.25">
      <c r="A393" s="5" t="s">
        <v>22</v>
      </c>
      <c r="B393" t="s">
        <v>118</v>
      </c>
      <c r="C393" s="9">
        <v>30.809722222222224</v>
      </c>
      <c r="D393" t="s">
        <v>393</v>
      </c>
      <c r="E393">
        <v>0</v>
      </c>
      <c r="F393" t="s">
        <v>394</v>
      </c>
      <c r="G393" t="s">
        <v>2037</v>
      </c>
      <c r="H393" s="9" t="s">
        <v>38</v>
      </c>
      <c r="I393" s="8">
        <v>0</v>
      </c>
      <c r="J393" s="69"/>
      <c r="K393" t="s">
        <v>1571</v>
      </c>
    </row>
    <row r="394" spans="1:11" x14ac:dyDescent="0.25">
      <c r="A394" s="5" t="s">
        <v>22</v>
      </c>
      <c r="B394" t="s">
        <v>118</v>
      </c>
      <c r="C394" s="9">
        <v>74.583333333333329</v>
      </c>
      <c r="D394" t="s">
        <v>466</v>
      </c>
      <c r="E394">
        <v>0</v>
      </c>
      <c r="F394" t="s">
        <v>467</v>
      </c>
      <c r="G394" t="s">
        <v>2037</v>
      </c>
      <c r="H394" s="9" t="s">
        <v>38</v>
      </c>
      <c r="I394" s="8">
        <v>0</v>
      </c>
      <c r="J394" s="69"/>
      <c r="K394" t="s">
        <v>1571</v>
      </c>
    </row>
    <row r="395" spans="1:11" x14ac:dyDescent="0.25">
      <c r="A395" s="5" t="s">
        <v>22</v>
      </c>
      <c r="B395" t="s">
        <v>118</v>
      </c>
      <c r="C395" s="9">
        <v>15.270138888888889</v>
      </c>
      <c r="D395" t="s">
        <v>346</v>
      </c>
      <c r="E395">
        <v>0</v>
      </c>
      <c r="F395" t="s">
        <v>347</v>
      </c>
      <c r="G395" t="s">
        <v>2037</v>
      </c>
      <c r="H395" s="9">
        <v>87.5</v>
      </c>
      <c r="I395" s="8">
        <v>0</v>
      </c>
      <c r="J395" s="69"/>
      <c r="K395" t="s">
        <v>1571</v>
      </c>
    </row>
    <row r="396" spans="1:11" x14ac:dyDescent="0.25">
      <c r="A396" s="5" t="s">
        <v>22</v>
      </c>
      <c r="B396" t="s">
        <v>118</v>
      </c>
      <c r="C396" s="9">
        <v>5.4666666666666668</v>
      </c>
      <c r="D396" t="s">
        <v>149</v>
      </c>
      <c r="E396">
        <v>0</v>
      </c>
      <c r="F396" t="s">
        <v>150</v>
      </c>
      <c r="G396" t="s">
        <v>2037</v>
      </c>
      <c r="H396" s="9">
        <v>6.25</v>
      </c>
      <c r="I396" s="8">
        <v>0</v>
      </c>
      <c r="J396" s="69"/>
      <c r="K396" t="s">
        <v>1571</v>
      </c>
    </row>
    <row r="397" spans="1:11" x14ac:dyDescent="0.25">
      <c r="A397" s="5" t="s">
        <v>22</v>
      </c>
      <c r="B397" t="s">
        <v>118</v>
      </c>
      <c r="C397" s="9">
        <v>11.789583333333333</v>
      </c>
      <c r="D397" t="s">
        <v>318</v>
      </c>
      <c r="E397">
        <v>0</v>
      </c>
      <c r="F397" t="s">
        <v>319</v>
      </c>
      <c r="G397" t="s">
        <v>2037</v>
      </c>
      <c r="H397" s="9">
        <v>25</v>
      </c>
      <c r="I397" s="8">
        <v>0</v>
      </c>
      <c r="J397" s="69"/>
      <c r="K397" t="s">
        <v>1571</v>
      </c>
    </row>
    <row r="398" spans="1:11" x14ac:dyDescent="0.25">
      <c r="A398" s="5" t="s">
        <v>22</v>
      </c>
      <c r="B398" t="s">
        <v>118</v>
      </c>
      <c r="C398" s="9">
        <v>319.00625000000002</v>
      </c>
      <c r="D398" t="s">
        <v>586</v>
      </c>
      <c r="E398">
        <v>0</v>
      </c>
      <c r="F398" t="s">
        <v>587</v>
      </c>
      <c r="G398" t="s">
        <v>2038</v>
      </c>
      <c r="H398" s="9" t="s">
        <v>38</v>
      </c>
      <c r="I398" s="8">
        <v>0</v>
      </c>
      <c r="J398" s="69"/>
      <c r="K398" t="s">
        <v>1571</v>
      </c>
    </row>
    <row r="399" spans="1:11" x14ac:dyDescent="0.25">
      <c r="A399" s="5" t="s">
        <v>22</v>
      </c>
      <c r="B399" t="s">
        <v>118</v>
      </c>
      <c r="C399" s="9">
        <v>319.00625000000002</v>
      </c>
      <c r="D399" t="s">
        <v>588</v>
      </c>
      <c r="E399">
        <v>0</v>
      </c>
      <c r="F399" t="s">
        <v>589</v>
      </c>
      <c r="G399" t="s">
        <v>2038</v>
      </c>
      <c r="H399" s="9" t="s">
        <v>38</v>
      </c>
      <c r="I399" s="8">
        <v>0</v>
      </c>
      <c r="J399" s="69"/>
      <c r="K399" t="s">
        <v>1571</v>
      </c>
    </row>
    <row r="400" spans="1:11" x14ac:dyDescent="0.25">
      <c r="A400" s="5" t="s">
        <v>22</v>
      </c>
      <c r="B400" t="s">
        <v>118</v>
      </c>
      <c r="C400" s="9" t="s">
        <v>2039</v>
      </c>
      <c r="D400" t="s">
        <v>763</v>
      </c>
      <c r="E400">
        <v>0</v>
      </c>
      <c r="F400" t="s">
        <v>764</v>
      </c>
      <c r="G400" t="s">
        <v>2038</v>
      </c>
      <c r="H400" t="s">
        <v>38</v>
      </c>
      <c r="I400" s="8">
        <v>0</v>
      </c>
      <c r="J400" s="69"/>
      <c r="K400" t="s">
        <v>1571</v>
      </c>
    </row>
    <row r="401" spans="1:11" x14ac:dyDescent="0.25">
      <c r="A401" s="5" t="s">
        <v>22</v>
      </c>
      <c r="B401" t="s">
        <v>118</v>
      </c>
      <c r="C401" s="9">
        <v>319.00625000000002</v>
      </c>
      <c r="D401" t="s">
        <v>590</v>
      </c>
      <c r="E401">
        <v>0</v>
      </c>
      <c r="F401" t="s">
        <v>591</v>
      </c>
      <c r="G401" t="s">
        <v>2038</v>
      </c>
      <c r="H401" s="9" t="s">
        <v>38</v>
      </c>
      <c r="I401" s="8">
        <v>0</v>
      </c>
      <c r="J401" s="69"/>
      <c r="K401" t="s">
        <v>1571</v>
      </c>
    </row>
    <row r="402" spans="1:11" x14ac:dyDescent="0.25">
      <c r="A402" s="5" t="s">
        <v>22</v>
      </c>
      <c r="B402" t="s">
        <v>118</v>
      </c>
      <c r="C402" s="9">
        <v>319.00625000000002</v>
      </c>
      <c r="D402" t="s">
        <v>586</v>
      </c>
      <c r="E402">
        <v>0</v>
      </c>
      <c r="F402" t="s">
        <v>587</v>
      </c>
      <c r="G402" t="s">
        <v>2040</v>
      </c>
      <c r="H402" t="s">
        <v>38</v>
      </c>
      <c r="I402" s="8">
        <v>0</v>
      </c>
      <c r="J402" s="69"/>
      <c r="K402" t="s">
        <v>1571</v>
      </c>
    </row>
    <row r="403" spans="1:11" x14ac:dyDescent="0.25">
      <c r="A403" s="5" t="s">
        <v>22</v>
      </c>
      <c r="B403" t="s">
        <v>118</v>
      </c>
      <c r="C403" s="9">
        <v>319.00625000000002</v>
      </c>
      <c r="D403" t="s">
        <v>588</v>
      </c>
      <c r="E403">
        <v>0</v>
      </c>
      <c r="F403" t="s">
        <v>589</v>
      </c>
      <c r="G403" t="s">
        <v>2040</v>
      </c>
      <c r="H403" t="s">
        <v>38</v>
      </c>
      <c r="I403" s="8">
        <v>0</v>
      </c>
      <c r="J403" s="69"/>
      <c r="K403" t="s">
        <v>1571</v>
      </c>
    </row>
    <row r="404" spans="1:11" x14ac:dyDescent="0.25">
      <c r="A404" s="5" t="s">
        <v>22</v>
      </c>
      <c r="B404" t="s">
        <v>118</v>
      </c>
      <c r="C404" s="9" t="s">
        <v>2039</v>
      </c>
      <c r="D404" t="s">
        <v>763</v>
      </c>
      <c r="E404">
        <v>0</v>
      </c>
      <c r="F404" t="s">
        <v>764</v>
      </c>
      <c r="G404" t="s">
        <v>2040</v>
      </c>
      <c r="H404" s="9" t="s">
        <v>38</v>
      </c>
      <c r="I404" s="8">
        <v>0</v>
      </c>
      <c r="J404" s="69"/>
      <c r="K404" t="s">
        <v>1571</v>
      </c>
    </row>
    <row r="405" spans="1:11" x14ac:dyDescent="0.25">
      <c r="A405" s="5" t="s">
        <v>22</v>
      </c>
      <c r="B405" t="s">
        <v>118</v>
      </c>
      <c r="C405" s="9">
        <v>319.00625000000002</v>
      </c>
      <c r="D405" t="s">
        <v>590</v>
      </c>
      <c r="E405">
        <v>0</v>
      </c>
      <c r="F405" t="s">
        <v>591</v>
      </c>
      <c r="G405" t="s">
        <v>2040</v>
      </c>
      <c r="H405" t="s">
        <v>38</v>
      </c>
      <c r="I405" s="8">
        <v>0</v>
      </c>
      <c r="J405" s="69"/>
      <c r="K405" t="s">
        <v>1571</v>
      </c>
    </row>
    <row r="406" spans="1:11" x14ac:dyDescent="0.25">
      <c r="A406" s="5" t="s">
        <v>22</v>
      </c>
      <c r="B406" t="s">
        <v>118</v>
      </c>
      <c r="C406" s="9">
        <v>64.301388888888894</v>
      </c>
      <c r="D406" t="s">
        <v>447</v>
      </c>
      <c r="E406">
        <v>0</v>
      </c>
      <c r="F406" t="s">
        <v>448</v>
      </c>
      <c r="G406" t="s">
        <v>2041</v>
      </c>
      <c r="H406" s="9" t="s">
        <v>38</v>
      </c>
      <c r="I406" s="8">
        <v>0</v>
      </c>
      <c r="J406" s="69"/>
      <c r="K406" t="s">
        <v>1571</v>
      </c>
    </row>
    <row r="407" spans="1:11" x14ac:dyDescent="0.25">
      <c r="A407" s="5" t="s">
        <v>22</v>
      </c>
      <c r="B407" t="s">
        <v>118</v>
      </c>
      <c r="C407" s="9">
        <v>2.1986111111111111</v>
      </c>
      <c r="D407" t="s">
        <v>173</v>
      </c>
      <c r="E407">
        <v>0</v>
      </c>
      <c r="F407" t="s">
        <v>174</v>
      </c>
      <c r="G407" t="s">
        <v>2041</v>
      </c>
      <c r="H407" s="9">
        <v>4.166666666666667</v>
      </c>
      <c r="I407" s="8">
        <v>0</v>
      </c>
      <c r="J407" s="69"/>
      <c r="K407" t="s">
        <v>1571</v>
      </c>
    </row>
    <row r="408" spans="1:11" x14ac:dyDescent="0.25">
      <c r="A408" s="5" t="s">
        <v>22</v>
      </c>
      <c r="B408" t="s">
        <v>118</v>
      </c>
      <c r="C408" s="9" t="s">
        <v>2042</v>
      </c>
      <c r="D408" t="s">
        <v>672</v>
      </c>
      <c r="E408">
        <v>0</v>
      </c>
      <c r="F408" t="s">
        <v>673</v>
      </c>
      <c r="G408" t="s">
        <v>2043</v>
      </c>
      <c r="H408" t="s">
        <v>607</v>
      </c>
      <c r="I408" s="8">
        <v>0</v>
      </c>
      <c r="J408" s="69"/>
      <c r="K408" t="s">
        <v>1571</v>
      </c>
    </row>
    <row r="409" spans="1:11" x14ac:dyDescent="0.25">
      <c r="A409" s="5" t="s">
        <v>22</v>
      </c>
      <c r="B409" t="s">
        <v>118</v>
      </c>
      <c r="C409" s="9" t="s">
        <v>2044</v>
      </c>
      <c r="D409" t="s">
        <v>799</v>
      </c>
      <c r="E409">
        <v>0</v>
      </c>
      <c r="F409" t="s">
        <v>800</v>
      </c>
      <c r="G409" t="s">
        <v>2045</v>
      </c>
      <c r="H409" t="s">
        <v>38</v>
      </c>
      <c r="I409" s="8">
        <v>0</v>
      </c>
      <c r="J409" s="69"/>
      <c r="K409" t="s">
        <v>1571</v>
      </c>
    </row>
    <row r="410" spans="1:11" x14ac:dyDescent="0.25">
      <c r="A410" s="5" t="s">
        <v>22</v>
      </c>
      <c r="B410" t="s">
        <v>118</v>
      </c>
      <c r="C410" s="9">
        <v>72.575000000000003</v>
      </c>
      <c r="D410" t="s">
        <v>464</v>
      </c>
      <c r="E410">
        <v>0</v>
      </c>
      <c r="F410" t="s">
        <v>465</v>
      </c>
      <c r="G410" t="s">
        <v>2045</v>
      </c>
      <c r="H410" t="s">
        <v>463</v>
      </c>
      <c r="I410" s="8">
        <v>0</v>
      </c>
      <c r="J410" s="69"/>
      <c r="K410" t="s">
        <v>1571</v>
      </c>
    </row>
    <row r="411" spans="1:11" x14ac:dyDescent="0.25">
      <c r="A411" s="5" t="s">
        <v>22</v>
      </c>
      <c r="B411" t="s">
        <v>118</v>
      </c>
      <c r="C411" s="9">
        <v>72.540277777777774</v>
      </c>
      <c r="D411" t="s">
        <v>461</v>
      </c>
      <c r="E411">
        <v>0</v>
      </c>
      <c r="F411" t="s">
        <v>462</v>
      </c>
      <c r="G411" t="s">
        <v>2045</v>
      </c>
      <c r="H411" t="s">
        <v>463</v>
      </c>
      <c r="I411" s="8">
        <v>0</v>
      </c>
      <c r="J411" s="69"/>
      <c r="K411" t="s">
        <v>1571</v>
      </c>
    </row>
    <row r="412" spans="1:11" x14ac:dyDescent="0.25">
      <c r="A412" s="5" t="s">
        <v>22</v>
      </c>
      <c r="B412" t="s">
        <v>118</v>
      </c>
      <c r="C412" s="9" t="s">
        <v>2046</v>
      </c>
      <c r="D412" t="s">
        <v>810</v>
      </c>
      <c r="E412">
        <v>0</v>
      </c>
      <c r="F412" t="s">
        <v>811</v>
      </c>
      <c r="G412" t="s">
        <v>2045</v>
      </c>
      <c r="H412" t="s">
        <v>66</v>
      </c>
      <c r="I412" s="8">
        <v>0</v>
      </c>
      <c r="J412" s="69"/>
      <c r="K412" t="s">
        <v>1571</v>
      </c>
    </row>
    <row r="413" spans="1:11" x14ac:dyDescent="0.25">
      <c r="A413" s="5" t="s">
        <v>22</v>
      </c>
      <c r="B413" t="s">
        <v>118</v>
      </c>
      <c r="C413" s="9" t="s">
        <v>2047</v>
      </c>
      <c r="D413" t="s">
        <v>808</v>
      </c>
      <c r="E413">
        <v>0</v>
      </c>
      <c r="F413" t="s">
        <v>809</v>
      </c>
      <c r="G413" t="s">
        <v>2045</v>
      </c>
      <c r="H413" t="s">
        <v>577</v>
      </c>
      <c r="I413" s="8">
        <v>0</v>
      </c>
      <c r="J413" s="69"/>
      <c r="K413" t="s">
        <v>1571</v>
      </c>
    </row>
    <row r="414" spans="1:11" x14ac:dyDescent="0.25">
      <c r="A414" s="5" t="s">
        <v>22</v>
      </c>
      <c r="B414" t="s">
        <v>118</v>
      </c>
      <c r="C414" s="9" t="s">
        <v>2048</v>
      </c>
      <c r="D414" t="s">
        <v>805</v>
      </c>
      <c r="E414">
        <v>0</v>
      </c>
      <c r="F414" t="s">
        <v>806</v>
      </c>
      <c r="G414" t="s">
        <v>2045</v>
      </c>
      <c r="H414" t="s">
        <v>807</v>
      </c>
      <c r="I414" s="8">
        <v>0</v>
      </c>
      <c r="J414" s="69"/>
      <c r="K414" t="s">
        <v>1571</v>
      </c>
    </row>
    <row r="415" spans="1:11" x14ac:dyDescent="0.25">
      <c r="A415" s="5" t="s">
        <v>22</v>
      </c>
      <c r="B415" t="s">
        <v>118</v>
      </c>
      <c r="C415" s="9" t="s">
        <v>2046</v>
      </c>
      <c r="D415" t="s">
        <v>812</v>
      </c>
      <c r="E415">
        <v>0</v>
      </c>
      <c r="F415" t="s">
        <v>813</v>
      </c>
      <c r="G415" t="s">
        <v>2045</v>
      </c>
      <c r="H415" t="s">
        <v>66</v>
      </c>
      <c r="I415" s="8">
        <v>0</v>
      </c>
      <c r="J415" s="69"/>
      <c r="K415" t="s">
        <v>1571</v>
      </c>
    </row>
    <row r="416" spans="1:11" x14ac:dyDescent="0.25">
      <c r="A416" s="5" t="s">
        <v>22</v>
      </c>
      <c r="B416" t="s">
        <v>118</v>
      </c>
      <c r="C416" s="9">
        <v>258.43541666666664</v>
      </c>
      <c r="D416" t="s">
        <v>578</v>
      </c>
      <c r="E416">
        <v>0</v>
      </c>
      <c r="F416" t="s">
        <v>579</v>
      </c>
      <c r="G416" t="s">
        <v>2045</v>
      </c>
      <c r="H416" t="s">
        <v>66</v>
      </c>
      <c r="I416" s="8">
        <v>0</v>
      </c>
      <c r="J416" s="69"/>
      <c r="K416" t="s">
        <v>1571</v>
      </c>
    </row>
    <row r="417" spans="1:11" x14ac:dyDescent="0.25">
      <c r="A417" s="5" t="s">
        <v>22</v>
      </c>
      <c r="B417" t="s">
        <v>118</v>
      </c>
      <c r="C417" s="9">
        <v>35.09652777777778</v>
      </c>
      <c r="D417" t="s">
        <v>398</v>
      </c>
      <c r="E417">
        <v>0</v>
      </c>
      <c r="F417" t="s">
        <v>399</v>
      </c>
      <c r="G417" t="s">
        <v>2045</v>
      </c>
      <c r="H417" s="9">
        <v>62.5</v>
      </c>
      <c r="I417" s="8">
        <v>0</v>
      </c>
      <c r="J417" s="69"/>
      <c r="K417" t="s">
        <v>1571</v>
      </c>
    </row>
    <row r="418" spans="1:11" x14ac:dyDescent="0.25">
      <c r="A418" s="5" t="s">
        <v>22</v>
      </c>
      <c r="B418" t="s">
        <v>118</v>
      </c>
      <c r="C418" s="9">
        <v>2.0833333333333335</v>
      </c>
      <c r="D418" t="s">
        <v>165</v>
      </c>
      <c r="E418">
        <v>0</v>
      </c>
      <c r="F418" t="s">
        <v>166</v>
      </c>
      <c r="G418" t="s">
        <v>2045</v>
      </c>
      <c r="H418" s="9">
        <v>2.0833333333333335</v>
      </c>
      <c r="I418" s="8">
        <v>0</v>
      </c>
      <c r="J418" s="69"/>
      <c r="K418" t="s">
        <v>1571</v>
      </c>
    </row>
    <row r="419" spans="1:11" x14ac:dyDescent="0.25">
      <c r="A419" s="5" t="s">
        <v>22</v>
      </c>
      <c r="B419" t="s">
        <v>118</v>
      </c>
      <c r="C419" s="9">
        <v>2.0833333333333335</v>
      </c>
      <c r="D419" t="s">
        <v>167</v>
      </c>
      <c r="E419">
        <v>0</v>
      </c>
      <c r="F419" t="s">
        <v>168</v>
      </c>
      <c r="G419" t="s">
        <v>2045</v>
      </c>
      <c r="H419" s="9">
        <v>2.0833333333333335</v>
      </c>
      <c r="I419" s="8">
        <v>0</v>
      </c>
      <c r="J419" s="69"/>
      <c r="K419" t="s">
        <v>1571</v>
      </c>
    </row>
    <row r="420" spans="1:11" x14ac:dyDescent="0.25">
      <c r="A420" s="5" t="s">
        <v>22</v>
      </c>
      <c r="B420" t="s">
        <v>118</v>
      </c>
      <c r="C420" s="9">
        <v>173.18541666666667</v>
      </c>
      <c r="D420" t="s">
        <v>551</v>
      </c>
      <c r="E420">
        <v>0</v>
      </c>
      <c r="F420" t="s">
        <v>552</v>
      </c>
      <c r="G420" t="s">
        <v>2049</v>
      </c>
      <c r="H420" t="s">
        <v>66</v>
      </c>
      <c r="I420" s="8">
        <v>0</v>
      </c>
      <c r="J420" s="69"/>
      <c r="K420" t="s">
        <v>1571</v>
      </c>
    </row>
    <row r="421" spans="1:11" x14ac:dyDescent="0.25">
      <c r="A421" s="5" t="s">
        <v>22</v>
      </c>
      <c r="B421" t="s">
        <v>118</v>
      </c>
      <c r="C421" s="9">
        <v>4.2819444444444441</v>
      </c>
      <c r="D421" t="s">
        <v>151</v>
      </c>
      <c r="E421">
        <v>0</v>
      </c>
      <c r="F421" t="s">
        <v>152</v>
      </c>
      <c r="G421" t="s">
        <v>2049</v>
      </c>
      <c r="H421" s="9">
        <v>6.25</v>
      </c>
      <c r="I421" s="8">
        <v>0</v>
      </c>
      <c r="J421" s="69"/>
      <c r="K421" t="s">
        <v>1571</v>
      </c>
    </row>
    <row r="422" spans="1:11" x14ac:dyDescent="0.25">
      <c r="A422" s="5" t="s">
        <v>22</v>
      </c>
      <c r="B422" t="s">
        <v>118</v>
      </c>
      <c r="C422" s="9">
        <v>17.207638888888887</v>
      </c>
      <c r="D422" t="s">
        <v>320</v>
      </c>
      <c r="E422">
        <v>0</v>
      </c>
      <c r="F422" t="s">
        <v>321</v>
      </c>
      <c r="G422" t="s">
        <v>2049</v>
      </c>
      <c r="H422" s="9">
        <v>25</v>
      </c>
      <c r="I422" s="8">
        <v>0</v>
      </c>
      <c r="J422" s="69"/>
      <c r="K422" t="s">
        <v>1571</v>
      </c>
    </row>
    <row r="423" spans="1:11" x14ac:dyDescent="0.25">
      <c r="A423" s="5" t="s">
        <v>22</v>
      </c>
      <c r="B423" t="s">
        <v>118</v>
      </c>
      <c r="C423" s="9">
        <v>4.2819444444444441</v>
      </c>
      <c r="D423" t="s">
        <v>153</v>
      </c>
      <c r="E423">
        <v>0</v>
      </c>
      <c r="F423" t="s">
        <v>154</v>
      </c>
      <c r="G423" t="s">
        <v>2049</v>
      </c>
      <c r="H423" s="9">
        <v>6.25</v>
      </c>
      <c r="I423" s="8">
        <v>0</v>
      </c>
      <c r="J423" s="69"/>
      <c r="K423" t="s">
        <v>1571</v>
      </c>
    </row>
    <row r="424" spans="1:11" x14ac:dyDescent="0.25">
      <c r="A424" s="5" t="s">
        <v>22</v>
      </c>
      <c r="B424" t="s">
        <v>118</v>
      </c>
      <c r="C424" s="9">
        <v>17.207638888888887</v>
      </c>
      <c r="D424" t="s">
        <v>181</v>
      </c>
      <c r="E424">
        <v>0</v>
      </c>
      <c r="F424" t="s">
        <v>182</v>
      </c>
      <c r="G424" t="s">
        <v>2049</v>
      </c>
      <c r="H424" s="9">
        <v>25</v>
      </c>
      <c r="I424" s="8">
        <v>0</v>
      </c>
      <c r="J424" s="69"/>
      <c r="K424" t="s">
        <v>1571</v>
      </c>
    </row>
    <row r="425" spans="1:11" x14ac:dyDescent="0.25">
      <c r="A425" s="5" t="s">
        <v>22</v>
      </c>
      <c r="B425" t="s">
        <v>118</v>
      </c>
      <c r="C425" s="9" t="s">
        <v>2050</v>
      </c>
      <c r="D425" t="s">
        <v>791</v>
      </c>
      <c r="E425">
        <v>0</v>
      </c>
      <c r="F425" t="s">
        <v>792</v>
      </c>
      <c r="G425" t="s">
        <v>2051</v>
      </c>
      <c r="H425" t="s">
        <v>38</v>
      </c>
      <c r="I425" s="8">
        <v>0</v>
      </c>
      <c r="J425" s="69"/>
      <c r="K425" t="s">
        <v>1571</v>
      </c>
    </row>
    <row r="426" spans="1:11" x14ac:dyDescent="0.25">
      <c r="A426" s="5" t="s">
        <v>22</v>
      </c>
      <c r="B426" t="s">
        <v>118</v>
      </c>
      <c r="C426" s="9" t="s">
        <v>2052</v>
      </c>
      <c r="D426" t="s">
        <v>791</v>
      </c>
      <c r="E426">
        <v>0</v>
      </c>
      <c r="F426" t="s">
        <v>792</v>
      </c>
      <c r="G426" t="s">
        <v>2053</v>
      </c>
      <c r="H426" t="s">
        <v>38</v>
      </c>
      <c r="I426" s="8">
        <v>0</v>
      </c>
      <c r="J426" s="69"/>
      <c r="K426" t="s">
        <v>1571</v>
      </c>
    </row>
    <row r="427" spans="1:11" x14ac:dyDescent="0.25">
      <c r="A427" s="5" t="s">
        <v>22</v>
      </c>
      <c r="B427" t="s">
        <v>118</v>
      </c>
      <c r="C427" s="9" t="s">
        <v>2054</v>
      </c>
      <c r="D427" t="s">
        <v>597</v>
      </c>
      <c r="E427">
        <v>0</v>
      </c>
      <c r="F427" t="s">
        <v>598</v>
      </c>
      <c r="G427" t="s">
        <v>2055</v>
      </c>
      <c r="H427" t="s">
        <v>599</v>
      </c>
      <c r="I427" s="8">
        <v>0</v>
      </c>
      <c r="J427" s="69"/>
      <c r="K427" t="s">
        <v>1571</v>
      </c>
    </row>
    <row r="428" spans="1:11" x14ac:dyDescent="0.25">
      <c r="A428" s="5" t="s">
        <v>22</v>
      </c>
      <c r="B428" t="s">
        <v>118</v>
      </c>
      <c r="C428" s="9">
        <v>4.166666666666667</v>
      </c>
      <c r="D428" t="s">
        <v>199</v>
      </c>
      <c r="E428">
        <v>0</v>
      </c>
      <c r="F428" t="s">
        <v>200</v>
      </c>
      <c r="G428" t="s">
        <v>2055</v>
      </c>
      <c r="H428" s="9">
        <v>4.166666666666667</v>
      </c>
      <c r="I428" s="8">
        <v>0</v>
      </c>
      <c r="J428" s="69"/>
      <c r="K428" t="s">
        <v>1571</v>
      </c>
    </row>
    <row r="429" spans="1:11" x14ac:dyDescent="0.25">
      <c r="A429" s="5" t="s">
        <v>22</v>
      </c>
      <c r="B429" t="s">
        <v>118</v>
      </c>
      <c r="C429" s="9">
        <v>257.70694444444445</v>
      </c>
      <c r="D429" t="s">
        <v>573</v>
      </c>
      <c r="E429">
        <v>0</v>
      </c>
      <c r="F429" t="s">
        <v>574</v>
      </c>
      <c r="G429" t="s">
        <v>2056</v>
      </c>
      <c r="H429" s="9">
        <v>279.16666666666669</v>
      </c>
      <c r="I429" s="8">
        <v>0</v>
      </c>
      <c r="J429" s="69"/>
      <c r="K429" t="s">
        <v>1571</v>
      </c>
    </row>
    <row r="430" spans="1:11" x14ac:dyDescent="0.25">
      <c r="A430" s="5" t="s">
        <v>22</v>
      </c>
      <c r="B430" t="s">
        <v>118</v>
      </c>
      <c r="C430" s="9">
        <v>257.84027777777777</v>
      </c>
      <c r="D430" t="s">
        <v>551</v>
      </c>
      <c r="E430">
        <v>0</v>
      </c>
      <c r="F430" t="s">
        <v>552</v>
      </c>
      <c r="G430" t="s">
        <v>2057</v>
      </c>
      <c r="H430" t="s">
        <v>66</v>
      </c>
      <c r="I430" s="8">
        <v>0</v>
      </c>
      <c r="J430" s="69"/>
      <c r="K430" t="s">
        <v>1571</v>
      </c>
    </row>
    <row r="431" spans="1:11" x14ac:dyDescent="0.25">
      <c r="A431" s="5" t="s">
        <v>22</v>
      </c>
      <c r="B431" t="s">
        <v>118</v>
      </c>
      <c r="C431" s="9">
        <v>5.4319444444444445</v>
      </c>
      <c r="D431" t="s">
        <v>151</v>
      </c>
      <c r="E431">
        <v>0</v>
      </c>
      <c r="F431" t="s">
        <v>152</v>
      </c>
      <c r="G431" t="s">
        <v>2057</v>
      </c>
      <c r="H431" s="9">
        <v>6.25</v>
      </c>
      <c r="I431" s="8">
        <v>0</v>
      </c>
      <c r="J431" s="69"/>
      <c r="K431" t="s">
        <v>1571</v>
      </c>
    </row>
    <row r="432" spans="1:11" x14ac:dyDescent="0.25">
      <c r="A432" s="5" t="s">
        <v>22</v>
      </c>
      <c r="B432" t="s">
        <v>118</v>
      </c>
      <c r="C432" s="9">
        <v>22.852777777777778</v>
      </c>
      <c r="D432" t="s">
        <v>320</v>
      </c>
      <c r="E432">
        <v>0</v>
      </c>
      <c r="F432" t="s">
        <v>321</v>
      </c>
      <c r="G432" t="s">
        <v>2057</v>
      </c>
      <c r="H432" s="9">
        <v>25</v>
      </c>
      <c r="I432" s="8">
        <v>0</v>
      </c>
      <c r="J432" s="69"/>
      <c r="K432" t="s">
        <v>1571</v>
      </c>
    </row>
    <row r="433" spans="1:11" x14ac:dyDescent="0.25">
      <c r="A433" s="5" t="s">
        <v>22</v>
      </c>
      <c r="B433" t="s">
        <v>118</v>
      </c>
      <c r="C433" s="9">
        <v>2.0194444444444444</v>
      </c>
      <c r="D433" t="s">
        <v>181</v>
      </c>
      <c r="E433">
        <v>0</v>
      </c>
      <c r="F433" t="s">
        <v>182</v>
      </c>
      <c r="G433" t="s">
        <v>2057</v>
      </c>
      <c r="H433" s="9">
        <v>25</v>
      </c>
      <c r="I433" s="8">
        <v>0</v>
      </c>
      <c r="J433" s="69"/>
      <c r="K433" t="s">
        <v>1571</v>
      </c>
    </row>
    <row r="434" spans="1:11" x14ac:dyDescent="0.25">
      <c r="A434" s="5" t="s">
        <v>22</v>
      </c>
      <c r="B434" t="s">
        <v>118</v>
      </c>
      <c r="C434" s="9" t="s">
        <v>2058</v>
      </c>
      <c r="D434" t="s">
        <v>712</v>
      </c>
      <c r="E434">
        <v>0</v>
      </c>
      <c r="F434" t="s">
        <v>713</v>
      </c>
      <c r="G434" t="s">
        <v>2059</v>
      </c>
      <c r="H434" t="s">
        <v>38</v>
      </c>
      <c r="I434" s="8">
        <v>0</v>
      </c>
      <c r="J434" s="69"/>
      <c r="K434" t="s">
        <v>1571</v>
      </c>
    </row>
    <row r="435" spans="1:11" x14ac:dyDescent="0.25">
      <c r="A435" s="5" t="s">
        <v>22</v>
      </c>
      <c r="B435" t="s">
        <v>118</v>
      </c>
      <c r="C435" s="8">
        <v>0.45069444444444445</v>
      </c>
      <c r="D435" t="s">
        <v>119</v>
      </c>
      <c r="E435">
        <v>0</v>
      </c>
      <c r="F435" t="s">
        <v>120</v>
      </c>
      <c r="G435" t="s">
        <v>1943</v>
      </c>
      <c r="H435" s="9">
        <v>1.0416666666666667</v>
      </c>
      <c r="I435" s="8">
        <v>0</v>
      </c>
      <c r="J435" s="69"/>
      <c r="K435" t="s">
        <v>1571</v>
      </c>
    </row>
    <row r="436" spans="1:11" x14ac:dyDescent="0.25">
      <c r="A436" s="5" t="s">
        <v>22</v>
      </c>
      <c r="B436" t="s">
        <v>118</v>
      </c>
      <c r="C436" s="8">
        <v>0.6645833333333333</v>
      </c>
      <c r="D436" t="s">
        <v>125</v>
      </c>
      <c r="E436">
        <v>0</v>
      </c>
      <c r="F436" t="s">
        <v>126</v>
      </c>
      <c r="G436" t="s">
        <v>1943</v>
      </c>
      <c r="H436" s="9">
        <v>1.0416666666666667</v>
      </c>
      <c r="I436" s="8">
        <v>0</v>
      </c>
      <c r="J436" s="69"/>
      <c r="K436" t="s">
        <v>1571</v>
      </c>
    </row>
    <row r="437" spans="1:11" x14ac:dyDescent="0.25">
      <c r="A437" s="5" t="s">
        <v>22</v>
      </c>
      <c r="B437" t="s">
        <v>118</v>
      </c>
      <c r="C437" s="9">
        <v>1.6243055555555554</v>
      </c>
      <c r="D437" t="s">
        <v>179</v>
      </c>
      <c r="E437">
        <v>0</v>
      </c>
      <c r="F437" t="s">
        <v>180</v>
      </c>
      <c r="G437" t="s">
        <v>1943</v>
      </c>
      <c r="H437" s="9">
        <v>4.166666666666667</v>
      </c>
      <c r="I437" s="8">
        <v>0</v>
      </c>
      <c r="J437" s="69"/>
      <c r="K437" t="s">
        <v>1571</v>
      </c>
    </row>
    <row r="438" spans="1:11" x14ac:dyDescent="0.25">
      <c r="A438" s="5" t="s">
        <v>22</v>
      </c>
      <c r="B438" t="s">
        <v>118</v>
      </c>
      <c r="C438" s="9">
        <v>315.2548611111111</v>
      </c>
      <c r="D438" t="s">
        <v>560</v>
      </c>
      <c r="E438">
        <v>0</v>
      </c>
      <c r="F438" t="s">
        <v>561</v>
      </c>
      <c r="G438" t="s">
        <v>2060</v>
      </c>
      <c r="H438" t="s">
        <v>66</v>
      </c>
      <c r="I438" s="8">
        <v>0</v>
      </c>
      <c r="J438" s="69"/>
      <c r="K438" t="s">
        <v>1571</v>
      </c>
    </row>
    <row r="439" spans="1:11" x14ac:dyDescent="0.25">
      <c r="A439" s="5" t="s">
        <v>22</v>
      </c>
      <c r="B439" t="s">
        <v>118</v>
      </c>
      <c r="C439" s="9">
        <v>2.754861111111111</v>
      </c>
      <c r="D439" t="s">
        <v>211</v>
      </c>
      <c r="E439">
        <v>0</v>
      </c>
      <c r="F439" t="s">
        <v>212</v>
      </c>
      <c r="G439" t="s">
        <v>2060</v>
      </c>
      <c r="H439" s="9">
        <v>104.16666666666667</v>
      </c>
      <c r="I439" s="8">
        <v>0</v>
      </c>
      <c r="J439" s="69"/>
      <c r="K439" t="s">
        <v>1571</v>
      </c>
    </row>
    <row r="440" spans="1:11" x14ac:dyDescent="0.25">
      <c r="A440" s="5" t="s">
        <v>22</v>
      </c>
      <c r="B440" t="s">
        <v>118</v>
      </c>
      <c r="C440" t="s">
        <v>2061</v>
      </c>
      <c r="D440" t="s">
        <v>2062</v>
      </c>
      <c r="E440">
        <v>0</v>
      </c>
      <c r="F440" t="s">
        <v>711</v>
      </c>
      <c r="G440" t="s">
        <v>2063</v>
      </c>
      <c r="H440" s="9">
        <v>291.66666666666669</v>
      </c>
      <c r="I440" s="8">
        <v>0</v>
      </c>
      <c r="J440" s="69"/>
      <c r="K440" t="s">
        <v>1571</v>
      </c>
    </row>
    <row r="441" spans="1:11" x14ac:dyDescent="0.25">
      <c r="A441" s="5" t="s">
        <v>22</v>
      </c>
      <c r="B441" t="s">
        <v>118</v>
      </c>
      <c r="C441" t="s">
        <v>2064</v>
      </c>
      <c r="D441" t="s">
        <v>662</v>
      </c>
      <c r="E441">
        <v>0</v>
      </c>
      <c r="F441" t="s">
        <v>663</v>
      </c>
      <c r="G441" t="s">
        <v>2065</v>
      </c>
      <c r="H441" s="9">
        <v>62.5</v>
      </c>
      <c r="I441" s="8">
        <v>0</v>
      </c>
      <c r="J441" s="69"/>
      <c r="K441" t="s">
        <v>1571</v>
      </c>
    </row>
    <row r="442" spans="1:11" x14ac:dyDescent="0.25">
      <c r="A442" s="5" t="s">
        <v>22</v>
      </c>
      <c r="B442" t="s">
        <v>118</v>
      </c>
      <c r="C442" t="s">
        <v>2066</v>
      </c>
      <c r="D442" t="s">
        <v>662</v>
      </c>
      <c r="E442">
        <v>0</v>
      </c>
      <c r="F442" t="s">
        <v>663</v>
      </c>
      <c r="G442" t="s">
        <v>2067</v>
      </c>
      <c r="H442" s="9">
        <v>62.5</v>
      </c>
      <c r="I442" s="8">
        <v>0</v>
      </c>
      <c r="J442" s="69"/>
      <c r="K442" t="s">
        <v>1571</v>
      </c>
    </row>
    <row r="443" spans="1:11" x14ac:dyDescent="0.25">
      <c r="A443" s="5" t="s">
        <v>22</v>
      </c>
      <c r="B443" t="s">
        <v>118</v>
      </c>
      <c r="C443" t="s">
        <v>2068</v>
      </c>
      <c r="D443" t="s">
        <v>662</v>
      </c>
      <c r="E443">
        <v>0</v>
      </c>
      <c r="F443" t="s">
        <v>663</v>
      </c>
      <c r="G443" t="s">
        <v>2069</v>
      </c>
      <c r="H443" s="9">
        <v>62.5</v>
      </c>
      <c r="I443" s="8">
        <v>0</v>
      </c>
      <c r="J443" s="69"/>
      <c r="K443" t="s">
        <v>1571</v>
      </c>
    </row>
    <row r="444" spans="1:11" x14ac:dyDescent="0.25">
      <c r="A444" s="5" t="s">
        <v>22</v>
      </c>
      <c r="B444" t="s">
        <v>118</v>
      </c>
      <c r="C444" t="s">
        <v>2070</v>
      </c>
      <c r="D444" t="s">
        <v>842</v>
      </c>
      <c r="E444">
        <v>0</v>
      </c>
      <c r="F444" t="s">
        <v>843</v>
      </c>
      <c r="G444" t="s">
        <v>2071</v>
      </c>
      <c r="H444" t="s">
        <v>844</v>
      </c>
      <c r="I444" s="8">
        <v>0</v>
      </c>
      <c r="J444" s="69"/>
      <c r="K444" t="s">
        <v>1571</v>
      </c>
    </row>
    <row r="445" spans="1:11" x14ac:dyDescent="0.25">
      <c r="A445" s="5" t="s">
        <v>22</v>
      </c>
      <c r="B445" t="s">
        <v>118</v>
      </c>
      <c r="C445" t="s">
        <v>2072</v>
      </c>
      <c r="D445" t="s">
        <v>597</v>
      </c>
      <c r="E445">
        <v>0</v>
      </c>
      <c r="F445" t="s">
        <v>598</v>
      </c>
      <c r="G445" t="s">
        <v>2073</v>
      </c>
      <c r="H445" t="s">
        <v>599</v>
      </c>
      <c r="I445" s="8">
        <v>0</v>
      </c>
      <c r="J445" s="69"/>
      <c r="K445" t="s">
        <v>1571</v>
      </c>
    </row>
    <row r="446" spans="1:11" x14ac:dyDescent="0.25">
      <c r="A446" s="5" t="s">
        <v>22</v>
      </c>
      <c r="B446" t="s">
        <v>118</v>
      </c>
      <c r="C446" s="9">
        <v>2.3222222222222224</v>
      </c>
      <c r="D446" t="s">
        <v>199</v>
      </c>
      <c r="E446">
        <v>0</v>
      </c>
      <c r="F446" t="s">
        <v>200</v>
      </c>
      <c r="G446" t="s">
        <v>2073</v>
      </c>
      <c r="H446" s="9">
        <v>4.166666666666667</v>
      </c>
      <c r="I446" s="8">
        <v>0</v>
      </c>
      <c r="J446" s="69"/>
      <c r="K446" t="s">
        <v>1571</v>
      </c>
    </row>
    <row r="447" spans="1:11" x14ac:dyDescent="0.25">
      <c r="A447" s="5" t="s">
        <v>22</v>
      </c>
      <c r="B447" t="s">
        <v>118</v>
      </c>
      <c r="C447" s="9">
        <v>222.32222222222222</v>
      </c>
      <c r="D447" t="s">
        <v>551</v>
      </c>
      <c r="E447">
        <v>0</v>
      </c>
      <c r="F447" t="s">
        <v>552</v>
      </c>
      <c r="G447" t="s">
        <v>2074</v>
      </c>
      <c r="H447" t="s">
        <v>66</v>
      </c>
      <c r="I447" s="8">
        <v>0</v>
      </c>
      <c r="J447" s="69"/>
      <c r="K447" t="s">
        <v>1571</v>
      </c>
    </row>
    <row r="448" spans="1:11" x14ac:dyDescent="0.25">
      <c r="A448" s="5" t="s">
        <v>22</v>
      </c>
      <c r="B448" t="s">
        <v>118</v>
      </c>
      <c r="C448" s="9">
        <v>5.4666666666666668</v>
      </c>
      <c r="D448" t="s">
        <v>151</v>
      </c>
      <c r="E448">
        <v>0</v>
      </c>
      <c r="F448" t="s">
        <v>152</v>
      </c>
      <c r="G448" t="s">
        <v>2074</v>
      </c>
      <c r="H448" s="9">
        <v>6.25</v>
      </c>
      <c r="I448" s="8">
        <v>0</v>
      </c>
      <c r="J448" s="69"/>
      <c r="K448" t="s">
        <v>1571</v>
      </c>
    </row>
    <row r="449" spans="1:11" x14ac:dyDescent="0.25">
      <c r="A449" s="5" t="s">
        <v>22</v>
      </c>
      <c r="B449" t="s">
        <v>118</v>
      </c>
      <c r="C449" s="9">
        <v>5.4666666666666668</v>
      </c>
      <c r="D449" t="s">
        <v>153</v>
      </c>
      <c r="E449">
        <v>0</v>
      </c>
      <c r="F449" t="s">
        <v>154</v>
      </c>
      <c r="G449" t="s">
        <v>2074</v>
      </c>
      <c r="H449" s="9">
        <v>6.25</v>
      </c>
      <c r="I449" s="8">
        <v>0</v>
      </c>
      <c r="J449" s="69"/>
      <c r="K449" t="s">
        <v>1571</v>
      </c>
    </row>
    <row r="450" spans="1:11" x14ac:dyDescent="0.25">
      <c r="A450" s="5" t="s">
        <v>22</v>
      </c>
      <c r="B450" t="s">
        <v>118</v>
      </c>
      <c r="C450" s="9">
        <v>11.789583333333333</v>
      </c>
      <c r="D450" t="s">
        <v>181</v>
      </c>
      <c r="E450">
        <v>0</v>
      </c>
      <c r="F450" t="s">
        <v>182</v>
      </c>
      <c r="G450" t="s">
        <v>2074</v>
      </c>
      <c r="H450" s="9">
        <v>25</v>
      </c>
      <c r="I450" s="8">
        <v>0</v>
      </c>
      <c r="J450" s="69"/>
      <c r="K450" t="s">
        <v>1571</v>
      </c>
    </row>
    <row r="451" spans="1:11" x14ac:dyDescent="0.25">
      <c r="A451" s="5" t="s">
        <v>22</v>
      </c>
      <c r="B451" t="s">
        <v>118</v>
      </c>
      <c r="C451" t="s">
        <v>2075</v>
      </c>
      <c r="D451" t="s">
        <v>597</v>
      </c>
      <c r="E451">
        <v>0</v>
      </c>
      <c r="F451" t="s">
        <v>598</v>
      </c>
      <c r="G451" t="s">
        <v>2076</v>
      </c>
      <c r="H451" t="s">
        <v>599</v>
      </c>
      <c r="I451" s="8">
        <v>0</v>
      </c>
      <c r="J451" s="69"/>
      <c r="K451" t="s">
        <v>1571</v>
      </c>
    </row>
    <row r="452" spans="1:11" x14ac:dyDescent="0.25">
      <c r="A452" s="5" t="s">
        <v>22</v>
      </c>
      <c r="B452" t="s">
        <v>118</v>
      </c>
      <c r="C452" s="9">
        <v>2.3222222222222224</v>
      </c>
      <c r="D452" t="s">
        <v>199</v>
      </c>
      <c r="E452">
        <v>0</v>
      </c>
      <c r="F452" t="s">
        <v>200</v>
      </c>
      <c r="G452" t="s">
        <v>2076</v>
      </c>
      <c r="H452" s="9">
        <v>4.166666666666667</v>
      </c>
      <c r="I452" s="8">
        <v>0</v>
      </c>
      <c r="J452" s="69"/>
      <c r="K452" t="s">
        <v>1571</v>
      </c>
    </row>
    <row r="453" spans="1:11" x14ac:dyDescent="0.25">
      <c r="A453" s="5" t="s">
        <v>22</v>
      </c>
      <c r="B453" t="s">
        <v>118</v>
      </c>
      <c r="C453" s="9">
        <v>200.97222222222223</v>
      </c>
      <c r="D453" t="s">
        <v>560</v>
      </c>
      <c r="E453">
        <v>0</v>
      </c>
      <c r="F453" t="s">
        <v>561</v>
      </c>
      <c r="G453" t="s">
        <v>2077</v>
      </c>
      <c r="H453" t="s">
        <v>66</v>
      </c>
      <c r="I453" s="8">
        <v>0</v>
      </c>
      <c r="J453" s="69"/>
      <c r="K453" t="s">
        <v>1571</v>
      </c>
    </row>
    <row r="454" spans="1:11" x14ac:dyDescent="0.25">
      <c r="A454" s="5" t="s">
        <v>22</v>
      </c>
      <c r="B454" t="s">
        <v>118</v>
      </c>
      <c r="C454" s="9">
        <v>21.434722222222224</v>
      </c>
      <c r="D454" t="s">
        <v>211</v>
      </c>
      <c r="E454">
        <v>0</v>
      </c>
      <c r="F454" t="s">
        <v>212</v>
      </c>
      <c r="G454" t="s">
        <v>2077</v>
      </c>
      <c r="H454" s="9">
        <v>104.16666666666667</v>
      </c>
      <c r="I454" s="8">
        <v>0</v>
      </c>
      <c r="J454" s="69"/>
      <c r="K454" t="s">
        <v>1571</v>
      </c>
    </row>
    <row r="455" spans="1:11" x14ac:dyDescent="0.25">
      <c r="A455" s="5" t="s">
        <v>22</v>
      </c>
      <c r="B455" t="s">
        <v>118</v>
      </c>
      <c r="C455" s="9">
        <v>210.71041666666667</v>
      </c>
      <c r="D455" t="s">
        <v>560</v>
      </c>
      <c r="E455">
        <v>0</v>
      </c>
      <c r="F455" t="s">
        <v>561</v>
      </c>
      <c r="G455" t="s">
        <v>2078</v>
      </c>
      <c r="H455" t="s">
        <v>66</v>
      </c>
      <c r="I455" s="8">
        <v>0</v>
      </c>
      <c r="J455" s="69"/>
      <c r="K455" t="s">
        <v>1571</v>
      </c>
    </row>
    <row r="456" spans="1:11" x14ac:dyDescent="0.25">
      <c r="A456" s="5" t="s">
        <v>22</v>
      </c>
      <c r="B456" t="s">
        <v>118</v>
      </c>
      <c r="C456" s="9">
        <v>14.570833333333333</v>
      </c>
      <c r="D456" t="s">
        <v>211</v>
      </c>
      <c r="E456">
        <v>0</v>
      </c>
      <c r="F456" t="s">
        <v>212</v>
      </c>
      <c r="G456" t="s">
        <v>2078</v>
      </c>
      <c r="H456" s="9">
        <v>104.16666666666667</v>
      </c>
      <c r="I456" s="8">
        <v>0</v>
      </c>
      <c r="J456" s="69"/>
      <c r="K456" t="s">
        <v>1571</v>
      </c>
    </row>
    <row r="457" spans="1:11" x14ac:dyDescent="0.25">
      <c r="A457" s="5" t="s">
        <v>22</v>
      </c>
      <c r="B457" t="s">
        <v>118</v>
      </c>
      <c r="C457" s="9">
        <v>383.92361111111109</v>
      </c>
      <c r="D457" t="s">
        <v>600</v>
      </c>
      <c r="E457">
        <v>0</v>
      </c>
      <c r="F457" t="s">
        <v>601</v>
      </c>
      <c r="G457" t="s">
        <v>2079</v>
      </c>
      <c r="H457" t="s">
        <v>66</v>
      </c>
      <c r="I457" s="8">
        <v>0</v>
      </c>
      <c r="J457" s="69"/>
      <c r="K457" t="s">
        <v>1571</v>
      </c>
    </row>
    <row r="458" spans="1:11" x14ac:dyDescent="0.25">
      <c r="A458" s="5" t="s">
        <v>22</v>
      </c>
      <c r="B458" t="s">
        <v>118</v>
      </c>
      <c r="C458" s="9">
        <v>128.85347222222222</v>
      </c>
      <c r="D458" t="s">
        <v>518</v>
      </c>
      <c r="E458">
        <v>0</v>
      </c>
      <c r="F458" t="s">
        <v>519</v>
      </c>
      <c r="G458" t="s">
        <v>2080</v>
      </c>
      <c r="H458" t="s">
        <v>38</v>
      </c>
      <c r="I458" s="8">
        <v>0</v>
      </c>
      <c r="J458" s="69"/>
      <c r="K458" t="s">
        <v>1571</v>
      </c>
    </row>
    <row r="459" spans="1:11" x14ac:dyDescent="0.25">
      <c r="A459" s="5" t="s">
        <v>22</v>
      </c>
      <c r="B459" t="s">
        <v>118</v>
      </c>
      <c r="C459" t="s">
        <v>2081</v>
      </c>
      <c r="D459" t="s">
        <v>733</v>
      </c>
      <c r="E459">
        <v>0</v>
      </c>
      <c r="F459" t="s">
        <v>734</v>
      </c>
      <c r="G459" t="s">
        <v>2080</v>
      </c>
      <c r="H459" t="s">
        <v>38</v>
      </c>
      <c r="I459" s="8">
        <v>0</v>
      </c>
      <c r="J459" s="69"/>
      <c r="K459" t="s">
        <v>1571</v>
      </c>
    </row>
    <row r="460" spans="1:11" x14ac:dyDescent="0.25">
      <c r="A460" s="5" t="s">
        <v>22</v>
      </c>
      <c r="B460" t="s">
        <v>118</v>
      </c>
      <c r="C460" t="s">
        <v>2081</v>
      </c>
      <c r="D460" t="s">
        <v>828</v>
      </c>
      <c r="E460">
        <v>0</v>
      </c>
      <c r="F460" t="s">
        <v>829</v>
      </c>
      <c r="G460" t="s">
        <v>2080</v>
      </c>
      <c r="H460" t="s">
        <v>38</v>
      </c>
      <c r="I460" s="8">
        <v>0</v>
      </c>
      <c r="J460" s="69"/>
      <c r="K460" t="s">
        <v>1571</v>
      </c>
    </row>
    <row r="461" spans="1:11" x14ac:dyDescent="0.25">
      <c r="A461" s="5" t="s">
        <v>22</v>
      </c>
      <c r="B461" t="s">
        <v>118</v>
      </c>
      <c r="C461" s="9">
        <v>128.85347222222222</v>
      </c>
      <c r="D461" t="s">
        <v>520</v>
      </c>
      <c r="E461">
        <v>0</v>
      </c>
      <c r="F461" t="s">
        <v>521</v>
      </c>
      <c r="G461" t="s">
        <v>2080</v>
      </c>
      <c r="H461" t="s">
        <v>38</v>
      </c>
      <c r="I461" s="8">
        <v>0</v>
      </c>
      <c r="J461" s="69"/>
      <c r="K461" t="s">
        <v>1571</v>
      </c>
    </row>
    <row r="462" spans="1:11" x14ac:dyDescent="0.25">
      <c r="A462" s="5" t="s">
        <v>22</v>
      </c>
      <c r="B462" t="s">
        <v>118</v>
      </c>
      <c r="C462" s="9">
        <v>128.85347222222222</v>
      </c>
      <c r="D462" t="s">
        <v>518</v>
      </c>
      <c r="E462">
        <v>0</v>
      </c>
      <c r="F462" t="s">
        <v>519</v>
      </c>
      <c r="G462" t="s">
        <v>2082</v>
      </c>
      <c r="H462" t="s">
        <v>38</v>
      </c>
      <c r="I462" s="8">
        <v>0</v>
      </c>
      <c r="J462" s="69"/>
      <c r="K462" t="s">
        <v>1571</v>
      </c>
    </row>
    <row r="463" spans="1:11" x14ac:dyDescent="0.25">
      <c r="A463" s="5" t="s">
        <v>22</v>
      </c>
      <c r="B463" t="s">
        <v>118</v>
      </c>
      <c r="C463" t="s">
        <v>2081</v>
      </c>
      <c r="D463" t="s">
        <v>733</v>
      </c>
      <c r="E463">
        <v>0</v>
      </c>
      <c r="F463" t="s">
        <v>734</v>
      </c>
      <c r="G463" t="s">
        <v>2082</v>
      </c>
      <c r="H463" t="s">
        <v>38</v>
      </c>
      <c r="I463" s="8">
        <v>0</v>
      </c>
      <c r="J463" s="69"/>
      <c r="K463" t="s">
        <v>1571</v>
      </c>
    </row>
    <row r="464" spans="1:11" x14ac:dyDescent="0.25">
      <c r="A464" s="5" t="s">
        <v>22</v>
      </c>
      <c r="B464" t="s">
        <v>118</v>
      </c>
      <c r="C464" t="s">
        <v>2081</v>
      </c>
      <c r="D464" t="s">
        <v>828</v>
      </c>
      <c r="E464">
        <v>0</v>
      </c>
      <c r="F464" t="s">
        <v>829</v>
      </c>
      <c r="G464" t="s">
        <v>2082</v>
      </c>
      <c r="H464" t="s">
        <v>38</v>
      </c>
      <c r="I464" s="8">
        <v>0</v>
      </c>
      <c r="J464" s="69"/>
      <c r="K464" t="s">
        <v>1571</v>
      </c>
    </row>
    <row r="465" spans="1:11" x14ac:dyDescent="0.25">
      <c r="A465" s="5" t="s">
        <v>22</v>
      </c>
      <c r="B465" t="s">
        <v>118</v>
      </c>
      <c r="C465" s="9">
        <v>128.85347222222222</v>
      </c>
      <c r="D465" t="s">
        <v>520</v>
      </c>
      <c r="E465">
        <v>0</v>
      </c>
      <c r="F465" t="s">
        <v>521</v>
      </c>
      <c r="G465" t="s">
        <v>2082</v>
      </c>
      <c r="H465" t="s">
        <v>38</v>
      </c>
      <c r="I465" s="8">
        <v>0</v>
      </c>
      <c r="J465" s="69"/>
      <c r="K465" t="s">
        <v>1571</v>
      </c>
    </row>
    <row r="466" spans="1:11" x14ac:dyDescent="0.25">
      <c r="A466" s="5" t="s">
        <v>22</v>
      </c>
      <c r="B466" t="s">
        <v>118</v>
      </c>
      <c r="C466" s="9">
        <v>84.842361111111117</v>
      </c>
      <c r="D466" t="s">
        <v>447</v>
      </c>
      <c r="E466">
        <v>0</v>
      </c>
      <c r="F466" t="s">
        <v>448</v>
      </c>
      <c r="G466" t="s">
        <v>2083</v>
      </c>
      <c r="H466" t="s">
        <v>38</v>
      </c>
      <c r="I466" s="8">
        <v>0</v>
      </c>
      <c r="J466" s="69"/>
      <c r="K466" t="s">
        <v>1571</v>
      </c>
    </row>
    <row r="467" spans="1:11" x14ac:dyDescent="0.25">
      <c r="A467" s="5" t="s">
        <v>22</v>
      </c>
      <c r="B467" t="s">
        <v>118</v>
      </c>
      <c r="C467" s="8">
        <v>0.73888888888888893</v>
      </c>
      <c r="D467" t="s">
        <v>173</v>
      </c>
      <c r="E467">
        <v>0</v>
      </c>
      <c r="F467" t="s">
        <v>174</v>
      </c>
      <c r="G467" t="s">
        <v>2083</v>
      </c>
      <c r="H467" s="9">
        <v>4.166666666666667</v>
      </c>
      <c r="I467" s="8">
        <v>0</v>
      </c>
      <c r="J467" s="69"/>
      <c r="K467" t="s">
        <v>1571</v>
      </c>
    </row>
    <row r="468" spans="1:11" x14ac:dyDescent="0.25">
      <c r="A468" s="5" t="s">
        <v>22</v>
      </c>
      <c r="B468" t="s">
        <v>118</v>
      </c>
      <c r="C468" t="s">
        <v>2084</v>
      </c>
      <c r="D468" t="s">
        <v>814</v>
      </c>
      <c r="E468">
        <v>0</v>
      </c>
      <c r="F468" t="s">
        <v>815</v>
      </c>
      <c r="G468" t="s">
        <v>2085</v>
      </c>
      <c r="H468" s="9">
        <v>291.66666666666669</v>
      </c>
      <c r="I468" s="8">
        <v>0</v>
      </c>
      <c r="J468" s="69"/>
      <c r="K468" t="s">
        <v>1571</v>
      </c>
    </row>
    <row r="469" spans="1:11" x14ac:dyDescent="0.25">
      <c r="A469" s="5" t="s">
        <v>22</v>
      </c>
      <c r="B469" t="s">
        <v>118</v>
      </c>
      <c r="C469" s="8">
        <v>0.6694444444444444</v>
      </c>
      <c r="D469" t="s">
        <v>157</v>
      </c>
      <c r="E469">
        <v>0</v>
      </c>
      <c r="F469" t="s">
        <v>158</v>
      </c>
      <c r="G469" t="s">
        <v>2085</v>
      </c>
      <c r="H469" s="9">
        <v>8.3333333333333339</v>
      </c>
      <c r="I469" s="8">
        <v>0.83333333333333337</v>
      </c>
      <c r="J469" s="69"/>
      <c r="K469" t="s">
        <v>1571</v>
      </c>
    </row>
    <row r="470" spans="1:11" x14ac:dyDescent="0.25">
      <c r="A470" s="5" t="s">
        <v>22</v>
      </c>
      <c r="B470" t="s">
        <v>118</v>
      </c>
      <c r="C470" s="9">
        <v>383.92361111111109</v>
      </c>
      <c r="D470" t="s">
        <v>600</v>
      </c>
      <c r="E470">
        <v>0</v>
      </c>
      <c r="F470" t="s">
        <v>601</v>
      </c>
      <c r="G470" t="s">
        <v>2086</v>
      </c>
      <c r="H470" t="s">
        <v>66</v>
      </c>
      <c r="I470" s="8">
        <v>0</v>
      </c>
      <c r="J470" s="69"/>
      <c r="K470" t="s">
        <v>1571</v>
      </c>
    </row>
    <row r="471" spans="1:11" x14ac:dyDescent="0.25">
      <c r="A471" s="5" t="s">
        <v>22</v>
      </c>
      <c r="B471" t="s">
        <v>118</v>
      </c>
      <c r="C471" s="9">
        <v>383.92361111111109</v>
      </c>
      <c r="D471" t="s">
        <v>600</v>
      </c>
      <c r="E471">
        <v>0</v>
      </c>
      <c r="F471" t="s">
        <v>601</v>
      </c>
      <c r="G471" t="s">
        <v>2087</v>
      </c>
      <c r="H471" s="9" t="s">
        <v>66</v>
      </c>
      <c r="I471" s="8">
        <v>0</v>
      </c>
      <c r="J471" s="69"/>
      <c r="K471" t="s">
        <v>1571</v>
      </c>
    </row>
    <row r="472" spans="1:11" x14ac:dyDescent="0.25">
      <c r="A472" s="5" t="s">
        <v>22</v>
      </c>
      <c r="B472" t="s">
        <v>118</v>
      </c>
      <c r="C472" t="s">
        <v>2088</v>
      </c>
      <c r="D472" t="s">
        <v>682</v>
      </c>
      <c r="E472">
        <v>0</v>
      </c>
      <c r="F472" t="s">
        <v>683</v>
      </c>
      <c r="G472" t="s">
        <v>2089</v>
      </c>
      <c r="H472" s="9">
        <v>333.33333333333331</v>
      </c>
      <c r="I472" s="8">
        <v>0</v>
      </c>
      <c r="J472" s="69"/>
      <c r="K472" t="s">
        <v>1571</v>
      </c>
    </row>
    <row r="473" spans="1:11" x14ac:dyDescent="0.25">
      <c r="A473" s="5" t="s">
        <v>22</v>
      </c>
      <c r="B473" t="s">
        <v>118</v>
      </c>
      <c r="C473" t="s">
        <v>2090</v>
      </c>
      <c r="D473" t="s">
        <v>788</v>
      </c>
      <c r="E473">
        <v>0</v>
      </c>
      <c r="F473" t="s">
        <v>789</v>
      </c>
      <c r="G473" t="s">
        <v>2089</v>
      </c>
      <c r="H473" t="s">
        <v>790</v>
      </c>
      <c r="I473" s="8">
        <v>0</v>
      </c>
      <c r="J473" s="69"/>
      <c r="K473" t="s">
        <v>1571</v>
      </c>
    </row>
    <row r="474" spans="1:11" x14ac:dyDescent="0.25">
      <c r="A474" s="5" t="s">
        <v>22</v>
      </c>
      <c r="B474" t="s">
        <v>118</v>
      </c>
      <c r="C474" t="s">
        <v>2091</v>
      </c>
      <c r="D474" t="s">
        <v>793</v>
      </c>
      <c r="E474">
        <v>0</v>
      </c>
      <c r="F474" t="s">
        <v>794</v>
      </c>
      <c r="G474" t="s">
        <v>2089</v>
      </c>
      <c r="H474" s="9">
        <v>250</v>
      </c>
      <c r="I474" s="8">
        <v>0</v>
      </c>
      <c r="J474" s="69"/>
      <c r="K474" t="s">
        <v>1571</v>
      </c>
    </row>
    <row r="475" spans="1:11" x14ac:dyDescent="0.25">
      <c r="A475" s="5" t="s">
        <v>22</v>
      </c>
      <c r="B475" t="s">
        <v>118</v>
      </c>
      <c r="C475" s="9">
        <v>211.30833333333334</v>
      </c>
      <c r="D475" t="s">
        <v>571</v>
      </c>
      <c r="E475">
        <v>0</v>
      </c>
      <c r="F475" t="s">
        <v>572</v>
      </c>
      <c r="G475" t="s">
        <v>2089</v>
      </c>
      <c r="H475" s="9">
        <v>83.333333333333329</v>
      </c>
      <c r="I475" s="8">
        <v>0</v>
      </c>
      <c r="J475" s="69"/>
      <c r="K475" t="s">
        <v>1571</v>
      </c>
    </row>
    <row r="476" spans="1:11" x14ac:dyDescent="0.25">
      <c r="A476" s="5" t="s">
        <v>22</v>
      </c>
      <c r="B476" t="s">
        <v>118</v>
      </c>
      <c r="C476" s="9">
        <v>295.65069444444447</v>
      </c>
      <c r="D476" t="s">
        <v>582</v>
      </c>
      <c r="E476">
        <v>0</v>
      </c>
      <c r="F476" t="s">
        <v>583</v>
      </c>
      <c r="G476" t="s">
        <v>2089</v>
      </c>
      <c r="H476" s="9">
        <v>83.333333333333329</v>
      </c>
      <c r="I476" s="8">
        <v>0</v>
      </c>
      <c r="J476" s="69"/>
      <c r="K476" t="s">
        <v>1571</v>
      </c>
    </row>
    <row r="477" spans="1:11" x14ac:dyDescent="0.25">
      <c r="A477" s="5" t="s">
        <v>22</v>
      </c>
      <c r="B477" t="s">
        <v>118</v>
      </c>
      <c r="C477" s="9">
        <v>295.65069444444447</v>
      </c>
      <c r="D477" t="s">
        <v>584</v>
      </c>
      <c r="E477">
        <v>0</v>
      </c>
      <c r="F477" t="s">
        <v>585</v>
      </c>
      <c r="G477" t="s">
        <v>2089</v>
      </c>
      <c r="H477" s="9">
        <v>83.333333333333329</v>
      </c>
      <c r="I477" s="8">
        <v>0</v>
      </c>
      <c r="J477" s="69"/>
      <c r="K477" t="s">
        <v>1571</v>
      </c>
    </row>
    <row r="478" spans="1:11" x14ac:dyDescent="0.25">
      <c r="A478" s="5" t="s">
        <v>22</v>
      </c>
      <c r="B478" t="s">
        <v>118</v>
      </c>
      <c r="C478" t="s">
        <v>2091</v>
      </c>
      <c r="D478" t="s">
        <v>795</v>
      </c>
      <c r="E478">
        <v>0</v>
      </c>
      <c r="F478" t="s">
        <v>796</v>
      </c>
      <c r="G478" t="s">
        <v>2089</v>
      </c>
      <c r="H478" s="9">
        <v>83.333333333333329</v>
      </c>
      <c r="I478" s="8">
        <v>0</v>
      </c>
      <c r="J478" s="69"/>
      <c r="K478" t="s">
        <v>1571</v>
      </c>
    </row>
    <row r="479" spans="1:11" x14ac:dyDescent="0.25">
      <c r="A479" s="5" t="s">
        <v>22</v>
      </c>
      <c r="B479" t="s">
        <v>118</v>
      </c>
      <c r="C479" t="s">
        <v>2081</v>
      </c>
      <c r="D479" t="s">
        <v>830</v>
      </c>
      <c r="E479">
        <v>0</v>
      </c>
      <c r="F479" t="s">
        <v>831</v>
      </c>
      <c r="G479" t="s">
        <v>2089</v>
      </c>
      <c r="H479" s="9">
        <v>83.333333333333329</v>
      </c>
      <c r="I479" s="8">
        <v>0</v>
      </c>
      <c r="J479" s="69"/>
      <c r="K479" t="s">
        <v>1571</v>
      </c>
    </row>
    <row r="480" spans="1:11" x14ac:dyDescent="0.25">
      <c r="A480" s="5" t="s">
        <v>22</v>
      </c>
      <c r="B480" t="s">
        <v>118</v>
      </c>
      <c r="C480" t="s">
        <v>2091</v>
      </c>
      <c r="D480" t="s">
        <v>797</v>
      </c>
      <c r="E480">
        <v>0</v>
      </c>
      <c r="F480" t="s">
        <v>798</v>
      </c>
      <c r="G480" t="s">
        <v>2089</v>
      </c>
      <c r="H480" s="9">
        <v>83.333333333333329</v>
      </c>
      <c r="I480" s="8">
        <v>0</v>
      </c>
      <c r="J480" s="69"/>
      <c r="K480" t="s">
        <v>1571</v>
      </c>
    </row>
    <row r="481" spans="1:11" x14ac:dyDescent="0.25">
      <c r="A481" s="5" t="s">
        <v>22</v>
      </c>
      <c r="B481" t="s">
        <v>118</v>
      </c>
      <c r="C481" s="9">
        <v>63.729166666666664</v>
      </c>
      <c r="D481" t="s">
        <v>445</v>
      </c>
      <c r="E481">
        <v>0</v>
      </c>
      <c r="F481" t="s">
        <v>446</v>
      </c>
      <c r="G481" t="s">
        <v>2089</v>
      </c>
      <c r="H481" s="9">
        <v>83.333333333333329</v>
      </c>
      <c r="I481" s="8">
        <v>0</v>
      </c>
      <c r="J481" s="69"/>
      <c r="K481" t="s">
        <v>1571</v>
      </c>
    </row>
    <row r="482" spans="1:11" x14ac:dyDescent="0.25">
      <c r="A482" s="5" t="s">
        <v>22</v>
      </c>
      <c r="B482" t="s">
        <v>118</v>
      </c>
      <c r="C482" s="9">
        <v>60.531944444444441</v>
      </c>
      <c r="D482" t="s">
        <v>441</v>
      </c>
      <c r="E482">
        <v>0</v>
      </c>
      <c r="F482" t="s">
        <v>442</v>
      </c>
      <c r="G482" t="s">
        <v>2089</v>
      </c>
      <c r="H482" s="9">
        <v>62.5</v>
      </c>
      <c r="I482" s="8">
        <v>0</v>
      </c>
      <c r="J482" s="69"/>
      <c r="K482" t="s">
        <v>1571</v>
      </c>
    </row>
    <row r="483" spans="1:11" x14ac:dyDescent="0.25">
      <c r="A483" s="5" t="s">
        <v>22</v>
      </c>
      <c r="B483" t="s">
        <v>118</v>
      </c>
      <c r="C483" s="8">
        <v>0.45069444444444445</v>
      </c>
      <c r="D483" t="s">
        <v>2092</v>
      </c>
      <c r="E483">
        <v>0</v>
      </c>
      <c r="F483" t="s">
        <v>127</v>
      </c>
      <c r="G483" t="s">
        <v>2089</v>
      </c>
      <c r="H483" s="9">
        <v>1.0416666666666667</v>
      </c>
      <c r="I483" s="8">
        <v>0</v>
      </c>
      <c r="J483" s="69"/>
      <c r="K483" t="s">
        <v>1571</v>
      </c>
    </row>
    <row r="484" spans="1:11" x14ac:dyDescent="0.25">
      <c r="A484" s="5" t="s">
        <v>22</v>
      </c>
      <c r="B484" t="s">
        <v>118</v>
      </c>
      <c r="C484" s="8">
        <v>0.45069444444444445</v>
      </c>
      <c r="D484" t="s">
        <v>2093</v>
      </c>
      <c r="E484">
        <v>0</v>
      </c>
      <c r="F484" t="s">
        <v>128</v>
      </c>
      <c r="G484" t="s">
        <v>2089</v>
      </c>
      <c r="H484" s="9">
        <v>1.0416666666666667</v>
      </c>
      <c r="I484" s="8">
        <v>0</v>
      </c>
      <c r="J484" s="69"/>
      <c r="K484" t="s">
        <v>1571</v>
      </c>
    </row>
    <row r="485" spans="1:11" x14ac:dyDescent="0.25">
      <c r="A485" s="5" t="s">
        <v>22</v>
      </c>
      <c r="B485" t="s">
        <v>118</v>
      </c>
      <c r="C485" s="9">
        <v>319.00625000000002</v>
      </c>
      <c r="D485" t="s">
        <v>586</v>
      </c>
      <c r="E485">
        <v>0</v>
      </c>
      <c r="F485" t="s">
        <v>587</v>
      </c>
      <c r="G485" t="s">
        <v>592</v>
      </c>
      <c r="H485" s="9" t="s">
        <v>38</v>
      </c>
      <c r="I485" s="8">
        <v>0</v>
      </c>
      <c r="J485" s="69"/>
      <c r="K485" t="s">
        <v>1571</v>
      </c>
    </row>
    <row r="486" spans="1:11" x14ac:dyDescent="0.25">
      <c r="A486" s="5" t="s">
        <v>22</v>
      </c>
      <c r="B486" t="s">
        <v>118</v>
      </c>
      <c r="C486" s="9">
        <v>389.26805555555558</v>
      </c>
      <c r="D486" t="s">
        <v>588</v>
      </c>
      <c r="E486">
        <v>0</v>
      </c>
      <c r="F486" t="s">
        <v>589</v>
      </c>
      <c r="G486" t="s">
        <v>592</v>
      </c>
      <c r="H486" s="9" t="s">
        <v>38</v>
      </c>
      <c r="I486" s="8">
        <v>0</v>
      </c>
      <c r="J486" s="69"/>
      <c r="K486" t="s">
        <v>1571</v>
      </c>
    </row>
    <row r="487" spans="1:11" x14ac:dyDescent="0.25">
      <c r="A487" s="5" t="s">
        <v>22</v>
      </c>
      <c r="B487" t="s">
        <v>118</v>
      </c>
      <c r="C487" t="s">
        <v>2039</v>
      </c>
      <c r="D487" t="s">
        <v>763</v>
      </c>
      <c r="E487">
        <v>0</v>
      </c>
      <c r="F487" t="s">
        <v>764</v>
      </c>
      <c r="G487" t="s">
        <v>592</v>
      </c>
      <c r="H487" s="9" t="s">
        <v>38</v>
      </c>
      <c r="I487" s="8">
        <v>0</v>
      </c>
      <c r="J487" s="69"/>
      <c r="K487" t="s">
        <v>1571</v>
      </c>
    </row>
    <row r="488" spans="1:11" x14ac:dyDescent="0.25">
      <c r="A488" s="5" t="s">
        <v>22</v>
      </c>
      <c r="B488" t="s">
        <v>118</v>
      </c>
      <c r="C488" s="9">
        <v>319.00625000000002</v>
      </c>
      <c r="D488" t="s">
        <v>590</v>
      </c>
      <c r="E488">
        <v>0</v>
      </c>
      <c r="F488" t="s">
        <v>591</v>
      </c>
      <c r="G488" t="s">
        <v>592</v>
      </c>
      <c r="H488" s="9" t="s">
        <v>38</v>
      </c>
      <c r="I488" s="8">
        <v>0</v>
      </c>
      <c r="J488" s="69"/>
      <c r="K488" t="s">
        <v>1571</v>
      </c>
    </row>
    <row r="489" spans="1:11" x14ac:dyDescent="0.25">
      <c r="A489" s="5" t="s">
        <v>22</v>
      </c>
      <c r="B489" t="s">
        <v>118</v>
      </c>
      <c r="C489" s="9">
        <v>82.561805555555551</v>
      </c>
      <c r="D489" t="s">
        <v>447</v>
      </c>
      <c r="E489">
        <v>0</v>
      </c>
      <c r="F489" t="s">
        <v>448</v>
      </c>
      <c r="G489" t="s">
        <v>2094</v>
      </c>
      <c r="H489" s="9" t="s">
        <v>38</v>
      </c>
      <c r="I489" s="8">
        <v>0</v>
      </c>
      <c r="J489" s="69"/>
      <c r="K489" t="s">
        <v>1571</v>
      </c>
    </row>
    <row r="490" spans="1:11" x14ac:dyDescent="0.25">
      <c r="A490" s="5" t="s">
        <v>22</v>
      </c>
      <c r="B490" t="s">
        <v>118</v>
      </c>
      <c r="C490" s="9">
        <v>2.1986111111111111</v>
      </c>
      <c r="D490" t="s">
        <v>173</v>
      </c>
      <c r="E490">
        <v>0</v>
      </c>
      <c r="F490" t="s">
        <v>174</v>
      </c>
      <c r="G490" t="s">
        <v>2094</v>
      </c>
      <c r="H490" s="9">
        <v>4.166666666666667</v>
      </c>
      <c r="I490" s="8">
        <v>0</v>
      </c>
      <c r="J490" s="69"/>
      <c r="K490" t="s">
        <v>1571</v>
      </c>
    </row>
    <row r="491" spans="1:11" x14ac:dyDescent="0.25">
      <c r="A491" s="5" t="s">
        <v>22</v>
      </c>
      <c r="B491" t="s">
        <v>118</v>
      </c>
      <c r="C491" s="9">
        <v>383.92361111111109</v>
      </c>
      <c r="D491" t="s">
        <v>600</v>
      </c>
      <c r="E491">
        <v>0</v>
      </c>
      <c r="F491" t="s">
        <v>601</v>
      </c>
      <c r="G491" t="s">
        <v>2095</v>
      </c>
      <c r="H491" t="s">
        <v>66</v>
      </c>
      <c r="I491" s="8">
        <v>0</v>
      </c>
      <c r="J491" s="69"/>
      <c r="K491" t="s">
        <v>1571</v>
      </c>
    </row>
    <row r="492" spans="1:11" x14ac:dyDescent="0.25">
      <c r="A492" s="5" t="s">
        <v>22</v>
      </c>
      <c r="B492" t="s">
        <v>118</v>
      </c>
      <c r="C492" s="9">
        <v>383.92361111111109</v>
      </c>
      <c r="D492" t="s">
        <v>600</v>
      </c>
      <c r="E492">
        <v>0</v>
      </c>
      <c r="F492" t="s">
        <v>601</v>
      </c>
      <c r="G492" t="s">
        <v>2096</v>
      </c>
      <c r="H492" t="s">
        <v>66</v>
      </c>
      <c r="I492" s="8">
        <v>0</v>
      </c>
      <c r="J492" s="69"/>
      <c r="K492" t="s">
        <v>1571</v>
      </c>
    </row>
    <row r="493" spans="1:11" x14ac:dyDescent="0.25">
      <c r="A493" s="5" t="s">
        <v>22</v>
      </c>
      <c r="B493" t="s">
        <v>118</v>
      </c>
      <c r="C493" s="9">
        <v>383.92361111111109</v>
      </c>
      <c r="D493" t="s">
        <v>600</v>
      </c>
      <c r="E493">
        <v>0</v>
      </c>
      <c r="F493" t="s">
        <v>601</v>
      </c>
      <c r="G493" t="s">
        <v>2097</v>
      </c>
      <c r="H493" t="s">
        <v>66</v>
      </c>
      <c r="I493" s="8">
        <v>0</v>
      </c>
      <c r="J493" s="69"/>
      <c r="K493" t="s">
        <v>1571</v>
      </c>
    </row>
    <row r="494" spans="1:11" x14ac:dyDescent="0.25">
      <c r="A494" s="5" t="s">
        <v>22</v>
      </c>
      <c r="B494" t="s">
        <v>118</v>
      </c>
      <c r="C494" t="s">
        <v>2098</v>
      </c>
      <c r="D494" t="s">
        <v>826</v>
      </c>
      <c r="E494">
        <v>0</v>
      </c>
      <c r="F494" t="s">
        <v>827</v>
      </c>
      <c r="G494" t="s">
        <v>2099</v>
      </c>
      <c r="H494" s="9">
        <v>291.66666666666669</v>
      </c>
      <c r="I494" s="8">
        <v>0</v>
      </c>
      <c r="J494" s="69"/>
      <c r="K494" t="s">
        <v>1571</v>
      </c>
    </row>
    <row r="495" spans="1:11" x14ac:dyDescent="0.25">
      <c r="A495" s="5" t="s">
        <v>22</v>
      </c>
      <c r="B495" t="s">
        <v>118</v>
      </c>
      <c r="C495" s="9">
        <v>351.40694444444443</v>
      </c>
      <c r="D495" t="s">
        <v>595</v>
      </c>
      <c r="E495">
        <v>0</v>
      </c>
      <c r="F495" t="s">
        <v>596</v>
      </c>
      <c r="G495" t="s">
        <v>2100</v>
      </c>
      <c r="H495" s="9" t="s">
        <v>38</v>
      </c>
      <c r="I495" s="8">
        <v>0</v>
      </c>
      <c r="J495" s="69"/>
      <c r="K495" t="s">
        <v>1571</v>
      </c>
    </row>
    <row r="496" spans="1:11" x14ac:dyDescent="0.25">
      <c r="A496" s="5" t="s">
        <v>22</v>
      </c>
      <c r="B496" t="s">
        <v>118</v>
      </c>
      <c r="C496" t="s">
        <v>2101</v>
      </c>
      <c r="D496" t="s">
        <v>803</v>
      </c>
      <c r="E496">
        <v>0</v>
      </c>
      <c r="F496" t="s">
        <v>804</v>
      </c>
      <c r="G496" t="s">
        <v>2102</v>
      </c>
      <c r="H496" s="9" t="s">
        <v>38</v>
      </c>
      <c r="I496" s="8">
        <v>0</v>
      </c>
      <c r="J496" s="69"/>
      <c r="K496" t="s">
        <v>1571</v>
      </c>
    </row>
    <row r="497" spans="1:11" x14ac:dyDescent="0.25">
      <c r="A497" s="5" t="s">
        <v>22</v>
      </c>
      <c r="B497" t="s">
        <v>118</v>
      </c>
      <c r="C497" t="s">
        <v>2103</v>
      </c>
      <c r="D497" t="s">
        <v>703</v>
      </c>
      <c r="E497">
        <v>0</v>
      </c>
      <c r="F497" t="s">
        <v>704</v>
      </c>
      <c r="G497" t="s">
        <v>2102</v>
      </c>
      <c r="H497" s="9" t="s">
        <v>38</v>
      </c>
      <c r="I497" s="8">
        <v>0</v>
      </c>
      <c r="J497" s="69"/>
      <c r="K497" t="s">
        <v>1571</v>
      </c>
    </row>
    <row r="498" spans="1:11" x14ac:dyDescent="0.25">
      <c r="A498" s="5" t="s">
        <v>22</v>
      </c>
      <c r="B498" t="s">
        <v>118</v>
      </c>
      <c r="C498" s="9">
        <v>182.89166666666668</v>
      </c>
      <c r="D498" t="s">
        <v>556</v>
      </c>
      <c r="E498">
        <v>0</v>
      </c>
      <c r="F498" t="s">
        <v>557</v>
      </c>
      <c r="G498" t="s">
        <v>2102</v>
      </c>
      <c r="H498" s="9">
        <v>125</v>
      </c>
      <c r="I498" s="8">
        <v>0</v>
      </c>
      <c r="J498" s="69"/>
      <c r="K498" t="s">
        <v>1571</v>
      </c>
    </row>
    <row r="499" spans="1:11" x14ac:dyDescent="0.25">
      <c r="A499" s="5" t="s">
        <v>22</v>
      </c>
      <c r="B499" t="s">
        <v>118</v>
      </c>
      <c r="C499" t="s">
        <v>2024</v>
      </c>
      <c r="D499" t="s">
        <v>822</v>
      </c>
      <c r="E499">
        <v>0</v>
      </c>
      <c r="F499" t="s">
        <v>823</v>
      </c>
      <c r="G499" t="s">
        <v>2102</v>
      </c>
      <c r="H499" s="9" t="s">
        <v>38</v>
      </c>
      <c r="I499" s="8">
        <v>0</v>
      </c>
      <c r="J499" s="69"/>
      <c r="K499" t="s">
        <v>1571</v>
      </c>
    </row>
    <row r="500" spans="1:11" x14ac:dyDescent="0.25">
      <c r="A500" s="5" t="s">
        <v>22</v>
      </c>
      <c r="B500" t="s">
        <v>118</v>
      </c>
      <c r="C500" t="s">
        <v>2104</v>
      </c>
      <c r="D500" t="s">
        <v>684</v>
      </c>
      <c r="E500">
        <v>0</v>
      </c>
      <c r="F500" t="s">
        <v>685</v>
      </c>
      <c r="G500" t="s">
        <v>2102</v>
      </c>
      <c r="H500" s="9">
        <v>291.66666666666669</v>
      </c>
      <c r="I500" s="8">
        <v>0</v>
      </c>
      <c r="J500" s="69"/>
      <c r="K500" t="s">
        <v>1571</v>
      </c>
    </row>
    <row r="501" spans="1:11" x14ac:dyDescent="0.25">
      <c r="A501" s="5" t="s">
        <v>22</v>
      </c>
      <c r="B501" t="s">
        <v>118</v>
      </c>
      <c r="C501" t="s">
        <v>2104</v>
      </c>
      <c r="D501" t="s">
        <v>686</v>
      </c>
      <c r="E501">
        <v>0</v>
      </c>
      <c r="F501" t="s">
        <v>687</v>
      </c>
      <c r="G501" t="s">
        <v>2102</v>
      </c>
      <c r="H501" s="9">
        <v>291.66666666666669</v>
      </c>
      <c r="I501" s="8">
        <v>0</v>
      </c>
      <c r="J501" s="69"/>
      <c r="K501" t="s">
        <v>1571</v>
      </c>
    </row>
    <row r="502" spans="1:11" x14ac:dyDescent="0.25">
      <c r="A502" s="5" t="s">
        <v>22</v>
      </c>
      <c r="B502" t="s">
        <v>118</v>
      </c>
      <c r="C502" t="s">
        <v>2104</v>
      </c>
      <c r="D502" t="s">
        <v>688</v>
      </c>
      <c r="E502">
        <v>0</v>
      </c>
      <c r="F502" t="s">
        <v>689</v>
      </c>
      <c r="G502" t="s">
        <v>2102</v>
      </c>
      <c r="H502" s="9">
        <v>291.66666666666669</v>
      </c>
      <c r="I502" s="8">
        <v>0</v>
      </c>
      <c r="J502" s="69"/>
      <c r="K502" t="s">
        <v>1571</v>
      </c>
    </row>
    <row r="503" spans="1:11" x14ac:dyDescent="0.25">
      <c r="A503" s="5" t="s">
        <v>22</v>
      </c>
      <c r="B503" t="s">
        <v>118</v>
      </c>
      <c r="C503" s="9">
        <v>10.802777777777777</v>
      </c>
      <c r="D503" t="s">
        <v>270</v>
      </c>
      <c r="E503">
        <v>0</v>
      </c>
      <c r="F503" t="s">
        <v>271</v>
      </c>
      <c r="G503" t="s">
        <v>2102</v>
      </c>
      <c r="H503" s="9">
        <v>104.16666666666667</v>
      </c>
      <c r="I503" s="8">
        <v>0</v>
      </c>
      <c r="J503" s="69"/>
      <c r="K503" t="s">
        <v>1571</v>
      </c>
    </row>
    <row r="504" spans="1:11" x14ac:dyDescent="0.25">
      <c r="A504" s="5" t="s">
        <v>22</v>
      </c>
      <c r="B504" t="s">
        <v>118</v>
      </c>
      <c r="C504" s="9">
        <v>22.179166666666667</v>
      </c>
      <c r="D504" t="s">
        <v>372</v>
      </c>
      <c r="E504">
        <v>0</v>
      </c>
      <c r="F504" t="s">
        <v>373</v>
      </c>
      <c r="G504" t="s">
        <v>2102</v>
      </c>
      <c r="H504" s="9">
        <v>62.5</v>
      </c>
      <c r="I504" s="8">
        <v>0</v>
      </c>
      <c r="J504" s="69"/>
      <c r="K504" t="s">
        <v>1571</v>
      </c>
    </row>
    <row r="505" spans="1:11" x14ac:dyDescent="0.25">
      <c r="A505" s="5" t="s">
        <v>22</v>
      </c>
      <c r="B505" t="s">
        <v>118</v>
      </c>
      <c r="C505" s="9">
        <v>11.716666666666667</v>
      </c>
      <c r="D505" t="s">
        <v>140</v>
      </c>
      <c r="E505">
        <v>0</v>
      </c>
      <c r="F505" t="s">
        <v>141</v>
      </c>
      <c r="G505" t="s">
        <v>2102</v>
      </c>
      <c r="H505" s="9">
        <v>12.5</v>
      </c>
      <c r="I505" s="8">
        <v>0</v>
      </c>
      <c r="J505" s="69"/>
      <c r="K505" t="s">
        <v>1571</v>
      </c>
    </row>
    <row r="506" spans="1:11" x14ac:dyDescent="0.25">
      <c r="A506" s="5" t="s">
        <v>22</v>
      </c>
      <c r="B506" t="s">
        <v>118</v>
      </c>
      <c r="C506" s="9">
        <v>3.5298611111111109</v>
      </c>
      <c r="D506" t="s">
        <v>223</v>
      </c>
      <c r="E506">
        <v>0</v>
      </c>
      <c r="F506" t="s">
        <v>224</v>
      </c>
      <c r="G506" t="s">
        <v>2102</v>
      </c>
      <c r="H506" s="9">
        <v>8.3333333333333339</v>
      </c>
      <c r="I506" s="8">
        <v>0</v>
      </c>
      <c r="J506" s="69"/>
      <c r="K506" t="s">
        <v>1571</v>
      </c>
    </row>
    <row r="507" spans="1:11" x14ac:dyDescent="0.25">
      <c r="A507" s="5" t="s">
        <v>22</v>
      </c>
      <c r="B507" t="s">
        <v>118</v>
      </c>
      <c r="C507" s="9">
        <v>2.1986111111111111</v>
      </c>
      <c r="D507" t="s">
        <v>201</v>
      </c>
      <c r="E507">
        <v>0</v>
      </c>
      <c r="F507" t="s">
        <v>202</v>
      </c>
      <c r="G507" t="s">
        <v>2102</v>
      </c>
      <c r="H507" s="9">
        <v>4.166666666666667</v>
      </c>
      <c r="I507" s="8">
        <v>0</v>
      </c>
      <c r="J507" s="69"/>
      <c r="K507" t="s">
        <v>1571</v>
      </c>
    </row>
    <row r="508" spans="1:11" x14ac:dyDescent="0.25">
      <c r="A508" s="5" t="s">
        <v>22</v>
      </c>
      <c r="B508" t="s">
        <v>118</v>
      </c>
      <c r="C508" s="9">
        <v>36.896527777777777</v>
      </c>
      <c r="D508" t="s">
        <v>416</v>
      </c>
      <c r="E508">
        <v>0</v>
      </c>
      <c r="F508" t="s">
        <v>417</v>
      </c>
      <c r="G508" t="s">
        <v>2102</v>
      </c>
      <c r="H508" s="9">
        <v>50</v>
      </c>
      <c r="I508" s="8">
        <v>0</v>
      </c>
      <c r="J508" s="69"/>
      <c r="K508" t="s">
        <v>1571</v>
      </c>
    </row>
    <row r="509" spans="1:11" x14ac:dyDescent="0.25">
      <c r="A509" s="5" t="s">
        <v>22</v>
      </c>
      <c r="B509" t="s">
        <v>118</v>
      </c>
      <c r="C509" s="9">
        <v>16.656944444444445</v>
      </c>
      <c r="D509" t="s">
        <v>348</v>
      </c>
      <c r="E509">
        <v>0</v>
      </c>
      <c r="F509" t="s">
        <v>349</v>
      </c>
      <c r="G509" t="s">
        <v>2102</v>
      </c>
      <c r="H509" s="9">
        <v>25</v>
      </c>
      <c r="I509" s="8">
        <v>0</v>
      </c>
      <c r="J509" s="69"/>
      <c r="K509" t="s">
        <v>1571</v>
      </c>
    </row>
    <row r="510" spans="1:11" x14ac:dyDescent="0.25">
      <c r="A510" s="5" t="s">
        <v>22</v>
      </c>
      <c r="B510" t="s">
        <v>118</v>
      </c>
      <c r="C510" s="9">
        <v>11.716666666666667</v>
      </c>
      <c r="D510" t="s">
        <v>142</v>
      </c>
      <c r="E510">
        <v>0</v>
      </c>
      <c r="F510" t="s">
        <v>143</v>
      </c>
      <c r="G510" t="s">
        <v>2102</v>
      </c>
      <c r="H510" s="9">
        <v>12.5</v>
      </c>
      <c r="I510" s="8">
        <v>0</v>
      </c>
      <c r="J510" s="69"/>
      <c r="K510" t="s">
        <v>1571</v>
      </c>
    </row>
    <row r="511" spans="1:11" x14ac:dyDescent="0.25">
      <c r="A511" s="5" t="s">
        <v>22</v>
      </c>
      <c r="B511" t="s">
        <v>118</v>
      </c>
      <c r="C511" s="9">
        <v>33.627083333333331</v>
      </c>
      <c r="D511" t="s">
        <v>396</v>
      </c>
      <c r="E511">
        <v>0</v>
      </c>
      <c r="F511" t="s">
        <v>397</v>
      </c>
      <c r="G511" t="s">
        <v>2102</v>
      </c>
      <c r="H511" s="9">
        <v>52.083333333333336</v>
      </c>
      <c r="I511" s="8">
        <v>0</v>
      </c>
      <c r="J511" s="69"/>
      <c r="K511" t="s">
        <v>1571</v>
      </c>
    </row>
    <row r="512" spans="1:11" x14ac:dyDescent="0.25">
      <c r="A512" s="5" t="s">
        <v>22</v>
      </c>
      <c r="B512" t="s">
        <v>118</v>
      </c>
      <c r="C512" s="9">
        <v>2.5520833333333335</v>
      </c>
      <c r="D512" t="s">
        <v>209</v>
      </c>
      <c r="E512">
        <v>0</v>
      </c>
      <c r="F512" t="s">
        <v>210</v>
      </c>
      <c r="G512" t="s">
        <v>2102</v>
      </c>
      <c r="H512" s="9">
        <v>8.3333333333333339</v>
      </c>
      <c r="I512" s="8">
        <v>0</v>
      </c>
      <c r="J512" s="69"/>
      <c r="K512" t="s">
        <v>1571</v>
      </c>
    </row>
    <row r="513" spans="1:11" x14ac:dyDescent="0.25">
      <c r="A513" s="5" t="s">
        <v>22</v>
      </c>
      <c r="B513" t="s">
        <v>118</v>
      </c>
      <c r="C513" s="9">
        <v>98.429861111111109</v>
      </c>
      <c r="D513" t="s">
        <v>502</v>
      </c>
      <c r="E513">
        <v>0</v>
      </c>
      <c r="F513" t="s">
        <v>503</v>
      </c>
      <c r="G513" t="s">
        <v>2105</v>
      </c>
      <c r="H513" s="9">
        <v>291.66666666666669</v>
      </c>
      <c r="I513" s="8">
        <v>0</v>
      </c>
      <c r="J513" s="69"/>
      <c r="K513" t="s">
        <v>1571</v>
      </c>
    </row>
    <row r="514" spans="1:11" x14ac:dyDescent="0.25">
      <c r="A514" s="5" t="s">
        <v>22</v>
      </c>
      <c r="B514" t="s">
        <v>118</v>
      </c>
      <c r="C514" s="9">
        <v>57.677083333333336</v>
      </c>
      <c r="D514" t="s">
        <v>439</v>
      </c>
      <c r="E514">
        <v>0</v>
      </c>
      <c r="F514" t="s">
        <v>440</v>
      </c>
      <c r="G514" t="s">
        <v>2105</v>
      </c>
      <c r="H514" s="9">
        <v>291.66666666666669</v>
      </c>
      <c r="I514" s="8">
        <v>0</v>
      </c>
      <c r="J514" s="69"/>
      <c r="K514" t="s">
        <v>1571</v>
      </c>
    </row>
    <row r="515" spans="1:11" x14ac:dyDescent="0.25">
      <c r="A515" s="5" t="s">
        <v>22</v>
      </c>
      <c r="B515" t="s">
        <v>118</v>
      </c>
      <c r="C515" t="s">
        <v>2106</v>
      </c>
      <c r="D515" t="s">
        <v>721</v>
      </c>
      <c r="E515">
        <v>0</v>
      </c>
      <c r="F515" t="s">
        <v>722</v>
      </c>
      <c r="G515" t="s">
        <v>2105</v>
      </c>
      <c r="H515" s="9">
        <v>291.66666666666669</v>
      </c>
      <c r="I515" s="8">
        <v>0</v>
      </c>
      <c r="J515" s="69"/>
      <c r="K515" t="s">
        <v>1571</v>
      </c>
    </row>
    <row r="516" spans="1:11" x14ac:dyDescent="0.25">
      <c r="A516" s="5" t="s">
        <v>22</v>
      </c>
      <c r="B516" t="s">
        <v>118</v>
      </c>
      <c r="C516" t="s">
        <v>2107</v>
      </c>
      <c r="D516" t="s">
        <v>716</v>
      </c>
      <c r="E516">
        <v>0</v>
      </c>
      <c r="F516" t="s">
        <v>717</v>
      </c>
      <c r="G516" t="s">
        <v>2105</v>
      </c>
      <c r="H516" s="9">
        <v>291.66666666666669</v>
      </c>
      <c r="I516" s="8">
        <v>0</v>
      </c>
      <c r="J516" s="69"/>
      <c r="K516" t="s">
        <v>1571</v>
      </c>
    </row>
    <row r="517" spans="1:11" x14ac:dyDescent="0.25">
      <c r="A517" s="5" t="s">
        <v>22</v>
      </c>
      <c r="B517" t="s">
        <v>118</v>
      </c>
      <c r="C517" t="s">
        <v>2107</v>
      </c>
      <c r="D517" t="s">
        <v>718</v>
      </c>
      <c r="E517">
        <v>0</v>
      </c>
      <c r="F517" t="s">
        <v>717</v>
      </c>
      <c r="G517" t="s">
        <v>2105</v>
      </c>
      <c r="H517" s="9">
        <v>291.66666666666669</v>
      </c>
      <c r="I517" s="8">
        <v>0</v>
      </c>
      <c r="J517" s="69"/>
      <c r="K517" t="s">
        <v>1571</v>
      </c>
    </row>
    <row r="518" spans="1:11" x14ac:dyDescent="0.25">
      <c r="A518" s="5" t="s">
        <v>22</v>
      </c>
      <c r="B518" t="s">
        <v>118</v>
      </c>
      <c r="C518" t="s">
        <v>2107</v>
      </c>
      <c r="D518" t="s">
        <v>719</v>
      </c>
      <c r="E518">
        <v>0</v>
      </c>
      <c r="F518" t="s">
        <v>717</v>
      </c>
      <c r="G518" t="s">
        <v>2105</v>
      </c>
      <c r="H518" s="9">
        <v>291.66666666666669</v>
      </c>
      <c r="I518" s="8">
        <v>0</v>
      </c>
      <c r="J518" s="69"/>
      <c r="K518" t="s">
        <v>1571</v>
      </c>
    </row>
    <row r="519" spans="1:11" x14ac:dyDescent="0.25">
      <c r="A519" s="5" t="s">
        <v>22</v>
      </c>
      <c r="B519" t="s">
        <v>118</v>
      </c>
      <c r="C519" t="s">
        <v>2107</v>
      </c>
      <c r="D519" t="s">
        <v>720</v>
      </c>
      <c r="E519">
        <v>0</v>
      </c>
      <c r="F519" t="s">
        <v>717</v>
      </c>
      <c r="G519" t="s">
        <v>2105</v>
      </c>
      <c r="H519" s="9">
        <v>291.66666666666669</v>
      </c>
      <c r="I519" s="8">
        <v>0</v>
      </c>
      <c r="J519" s="69"/>
      <c r="K519" t="s">
        <v>1571</v>
      </c>
    </row>
    <row r="520" spans="1:11" x14ac:dyDescent="0.25">
      <c r="A520" s="5" t="s">
        <v>22</v>
      </c>
      <c r="B520" t="s">
        <v>118</v>
      </c>
      <c r="C520" s="9">
        <v>66.468055555555551</v>
      </c>
      <c r="D520" t="s">
        <v>457</v>
      </c>
      <c r="E520">
        <v>0</v>
      </c>
      <c r="F520" t="s">
        <v>458</v>
      </c>
      <c r="G520" t="s">
        <v>2105</v>
      </c>
      <c r="H520" s="9">
        <v>291.66666666666669</v>
      </c>
      <c r="I520" s="8">
        <v>0</v>
      </c>
      <c r="J520" s="69"/>
      <c r="K520" t="s">
        <v>1571</v>
      </c>
    </row>
    <row r="521" spans="1:11" x14ac:dyDescent="0.25">
      <c r="A521" s="5" t="s">
        <v>22</v>
      </c>
      <c r="B521" t="s">
        <v>118</v>
      </c>
      <c r="C521" s="9">
        <v>208.49236111111111</v>
      </c>
      <c r="D521" t="s">
        <v>562</v>
      </c>
      <c r="E521">
        <v>0</v>
      </c>
      <c r="F521" t="s">
        <v>563</v>
      </c>
      <c r="G521" t="s">
        <v>2105</v>
      </c>
      <c r="H521" s="9">
        <v>291.66666666666669</v>
      </c>
      <c r="I521" s="8">
        <v>0</v>
      </c>
      <c r="J521" s="69"/>
      <c r="K521" t="s">
        <v>1571</v>
      </c>
    </row>
    <row r="522" spans="1:11" x14ac:dyDescent="0.25">
      <c r="A522" s="5" t="s">
        <v>22</v>
      </c>
      <c r="B522" t="s">
        <v>118</v>
      </c>
      <c r="C522" s="9">
        <v>99.19027777777778</v>
      </c>
      <c r="D522" t="s">
        <v>504</v>
      </c>
      <c r="E522">
        <v>0</v>
      </c>
      <c r="F522" t="s">
        <v>505</v>
      </c>
      <c r="G522" t="s">
        <v>2105</v>
      </c>
      <c r="H522" s="9">
        <v>291.66666666666669</v>
      </c>
      <c r="I522" s="8">
        <v>0</v>
      </c>
      <c r="J522" s="69"/>
      <c r="K522" t="s">
        <v>1571</v>
      </c>
    </row>
    <row r="523" spans="1:11" x14ac:dyDescent="0.25">
      <c r="A523" s="5" t="s">
        <v>22</v>
      </c>
      <c r="B523" t="s">
        <v>118</v>
      </c>
      <c r="C523" s="9">
        <v>162.75416666666666</v>
      </c>
      <c r="D523" t="s">
        <v>543</v>
      </c>
      <c r="E523">
        <v>0</v>
      </c>
      <c r="F523" t="s">
        <v>544</v>
      </c>
      <c r="G523" t="s">
        <v>2105</v>
      </c>
      <c r="H523" s="9">
        <v>291.66666666666669</v>
      </c>
      <c r="I523" s="8">
        <v>0</v>
      </c>
      <c r="J523" s="69"/>
      <c r="K523" t="s">
        <v>1571</v>
      </c>
    </row>
    <row r="524" spans="1:11" x14ac:dyDescent="0.25">
      <c r="A524" s="5" t="s">
        <v>22</v>
      </c>
      <c r="B524" t="s">
        <v>118</v>
      </c>
      <c r="C524" s="9">
        <v>6.1861111111111109</v>
      </c>
      <c r="D524" t="s">
        <v>243</v>
      </c>
      <c r="E524">
        <v>0</v>
      </c>
      <c r="F524" t="s">
        <v>244</v>
      </c>
      <c r="G524" t="s">
        <v>2105</v>
      </c>
      <c r="H524" s="9">
        <v>8.3333333333333339</v>
      </c>
      <c r="I524" s="8">
        <v>0</v>
      </c>
      <c r="J524" s="69"/>
      <c r="K524" t="s">
        <v>1571</v>
      </c>
    </row>
    <row r="525" spans="1:11" x14ac:dyDescent="0.25">
      <c r="A525" s="5" t="s">
        <v>22</v>
      </c>
      <c r="B525" t="s">
        <v>118</v>
      </c>
      <c r="C525" s="9">
        <v>131.74097222222221</v>
      </c>
      <c r="D525" t="s">
        <v>522</v>
      </c>
      <c r="E525">
        <v>0</v>
      </c>
      <c r="F525" t="s">
        <v>523</v>
      </c>
      <c r="G525" t="s">
        <v>2108</v>
      </c>
      <c r="H525" s="9">
        <v>291.66666666666669</v>
      </c>
      <c r="I525" s="8">
        <v>0</v>
      </c>
      <c r="J525" s="69"/>
      <c r="K525" t="s">
        <v>1571</v>
      </c>
    </row>
    <row r="526" spans="1:11" x14ac:dyDescent="0.25">
      <c r="A526" s="5" t="s">
        <v>22</v>
      </c>
      <c r="B526" t="s">
        <v>118</v>
      </c>
      <c r="C526" s="9">
        <v>39.665972222222223</v>
      </c>
      <c r="D526" t="s">
        <v>1577</v>
      </c>
      <c r="E526">
        <v>0</v>
      </c>
      <c r="F526" t="s">
        <v>1578</v>
      </c>
      <c r="G526" t="s">
        <v>2109</v>
      </c>
      <c r="H526" s="9">
        <v>291.66666666666669</v>
      </c>
      <c r="I526" s="8">
        <v>0</v>
      </c>
      <c r="J526" s="69"/>
      <c r="K526" t="s">
        <v>1571</v>
      </c>
    </row>
    <row r="527" spans="1:11" x14ac:dyDescent="0.25">
      <c r="A527" s="5" t="s">
        <v>22</v>
      </c>
      <c r="B527" t="s">
        <v>118</v>
      </c>
      <c r="C527" s="9">
        <v>63.53402777777778</v>
      </c>
      <c r="D527" t="s">
        <v>443</v>
      </c>
      <c r="E527">
        <v>0</v>
      </c>
      <c r="F527" t="s">
        <v>444</v>
      </c>
      <c r="G527" t="s">
        <v>2110</v>
      </c>
      <c r="H527" s="9">
        <v>291.66666666666669</v>
      </c>
      <c r="I527" s="8">
        <v>0</v>
      </c>
      <c r="J527" s="69"/>
      <c r="K527" t="s">
        <v>1571</v>
      </c>
    </row>
    <row r="528" spans="1:11" x14ac:dyDescent="0.25">
      <c r="A528" s="5" t="s">
        <v>22</v>
      </c>
      <c r="B528" t="s">
        <v>118</v>
      </c>
      <c r="C528" s="9">
        <v>39.665972222222223</v>
      </c>
      <c r="D528" t="s">
        <v>1577</v>
      </c>
      <c r="E528">
        <v>0</v>
      </c>
      <c r="F528" t="s">
        <v>1578</v>
      </c>
      <c r="G528" t="s">
        <v>2111</v>
      </c>
      <c r="H528" s="9">
        <v>291.66666666666669</v>
      </c>
      <c r="I528" s="8">
        <v>0</v>
      </c>
      <c r="J528" s="69"/>
      <c r="K528" t="s">
        <v>1571</v>
      </c>
    </row>
    <row r="529" spans="1:11" x14ac:dyDescent="0.25">
      <c r="A529" s="5" t="s">
        <v>22</v>
      </c>
      <c r="B529" t="s">
        <v>118</v>
      </c>
      <c r="C529" s="9">
        <v>248.58611111111111</v>
      </c>
      <c r="D529" t="s">
        <v>575</v>
      </c>
      <c r="E529">
        <v>0</v>
      </c>
      <c r="F529" t="s">
        <v>576</v>
      </c>
      <c r="G529" t="s">
        <v>2102</v>
      </c>
      <c r="H529" t="s">
        <v>577</v>
      </c>
      <c r="I529" s="8">
        <v>0</v>
      </c>
      <c r="J529" s="69"/>
      <c r="K529" t="s">
        <v>1571</v>
      </c>
    </row>
    <row r="530" spans="1:11" x14ac:dyDescent="0.25">
      <c r="A530" s="5" t="s">
        <v>22</v>
      </c>
      <c r="B530" t="s">
        <v>118</v>
      </c>
      <c r="C530" t="s">
        <v>2024</v>
      </c>
      <c r="D530" t="s">
        <v>824</v>
      </c>
      <c r="E530">
        <v>0</v>
      </c>
      <c r="F530" t="s">
        <v>825</v>
      </c>
      <c r="G530" t="s">
        <v>2102</v>
      </c>
      <c r="H530" t="s">
        <v>66</v>
      </c>
      <c r="I530" s="8">
        <v>0</v>
      </c>
      <c r="J530" s="69"/>
      <c r="K530" t="s">
        <v>1571</v>
      </c>
    </row>
    <row r="531" spans="1:11" x14ac:dyDescent="0.25">
      <c r="A531" s="5" t="s">
        <v>22</v>
      </c>
      <c r="B531" t="s">
        <v>118</v>
      </c>
      <c r="C531" s="9">
        <v>70.734722222222217</v>
      </c>
      <c r="D531" t="s">
        <v>459</v>
      </c>
      <c r="E531">
        <v>0</v>
      </c>
      <c r="F531" t="s">
        <v>460</v>
      </c>
      <c r="G531" t="s">
        <v>2102</v>
      </c>
      <c r="H531" s="9">
        <v>279.16666666666669</v>
      </c>
      <c r="I531" s="8">
        <v>0</v>
      </c>
      <c r="J531" s="69"/>
      <c r="K531" t="s">
        <v>1571</v>
      </c>
    </row>
    <row r="532" spans="1:11" x14ac:dyDescent="0.25">
      <c r="A532" s="5" t="s">
        <v>22</v>
      </c>
      <c r="B532" t="s">
        <v>118</v>
      </c>
      <c r="C532" s="9">
        <v>222.98750000000001</v>
      </c>
      <c r="D532" t="s">
        <v>573</v>
      </c>
      <c r="E532">
        <v>0</v>
      </c>
      <c r="F532" t="s">
        <v>574</v>
      </c>
      <c r="G532" t="s">
        <v>2112</v>
      </c>
      <c r="H532" s="9">
        <v>279.16666666666669</v>
      </c>
      <c r="I532" s="8">
        <v>0</v>
      </c>
      <c r="J532" s="69"/>
      <c r="K532" t="s">
        <v>1571</v>
      </c>
    </row>
    <row r="533" spans="1:11" x14ac:dyDescent="0.25">
      <c r="A533" s="5" t="s">
        <v>22</v>
      </c>
      <c r="B533" t="s">
        <v>118</v>
      </c>
      <c r="C533" s="9">
        <v>222.98750000000001</v>
      </c>
      <c r="D533" t="s">
        <v>573</v>
      </c>
      <c r="E533">
        <v>0</v>
      </c>
      <c r="F533" t="s">
        <v>574</v>
      </c>
      <c r="G533" t="s">
        <v>2113</v>
      </c>
      <c r="H533" s="9">
        <v>279.16666666666669</v>
      </c>
      <c r="I533" s="8">
        <v>0</v>
      </c>
      <c r="J533" s="69"/>
      <c r="K533" t="s">
        <v>1571</v>
      </c>
    </row>
    <row r="534" spans="1:11" x14ac:dyDescent="0.25">
      <c r="A534" s="5" t="s">
        <v>22</v>
      </c>
      <c r="B534" t="s">
        <v>118</v>
      </c>
      <c r="C534" s="9">
        <v>222.98750000000001</v>
      </c>
      <c r="D534" t="s">
        <v>573</v>
      </c>
      <c r="E534">
        <v>0</v>
      </c>
      <c r="F534" t="s">
        <v>574</v>
      </c>
      <c r="G534" t="s">
        <v>2114</v>
      </c>
      <c r="H534" s="9">
        <v>279.16666666666669</v>
      </c>
      <c r="I534" s="8">
        <v>0</v>
      </c>
      <c r="J534" s="69"/>
      <c r="K534" t="s">
        <v>1571</v>
      </c>
    </row>
    <row r="535" spans="1:11" x14ac:dyDescent="0.25">
      <c r="A535" s="5" t="s">
        <v>22</v>
      </c>
      <c r="B535" t="s">
        <v>118</v>
      </c>
      <c r="C535" t="s">
        <v>2115</v>
      </c>
      <c r="D535" t="s">
        <v>801</v>
      </c>
      <c r="E535">
        <v>0</v>
      </c>
      <c r="F535" t="s">
        <v>802</v>
      </c>
      <c r="G535" t="s">
        <v>2116</v>
      </c>
      <c r="H535" t="s">
        <v>38</v>
      </c>
      <c r="I535" s="8">
        <v>0</v>
      </c>
      <c r="J535" s="69"/>
      <c r="K535" t="s">
        <v>1571</v>
      </c>
    </row>
    <row r="536" spans="1:11" x14ac:dyDescent="0.25">
      <c r="A536" s="5" t="s">
        <v>22</v>
      </c>
      <c r="B536" t="s">
        <v>118</v>
      </c>
      <c r="C536" t="s">
        <v>2117</v>
      </c>
      <c r="D536" t="s">
        <v>791</v>
      </c>
      <c r="E536">
        <v>0</v>
      </c>
      <c r="F536" t="s">
        <v>792</v>
      </c>
      <c r="G536" t="s">
        <v>2118</v>
      </c>
      <c r="H536" t="s">
        <v>38</v>
      </c>
      <c r="I536" s="8">
        <v>0</v>
      </c>
      <c r="J536" s="69"/>
      <c r="K536" t="s">
        <v>1571</v>
      </c>
    </row>
    <row r="537" spans="1:11" x14ac:dyDescent="0.25">
      <c r="A537" s="5" t="s">
        <v>22</v>
      </c>
      <c r="B537" t="s">
        <v>118</v>
      </c>
      <c r="C537" t="s">
        <v>2119</v>
      </c>
      <c r="D537" t="s">
        <v>701</v>
      </c>
      <c r="E537">
        <v>0</v>
      </c>
      <c r="F537" t="s">
        <v>702</v>
      </c>
      <c r="G537" t="s">
        <v>2120</v>
      </c>
      <c r="H537" s="9">
        <v>375</v>
      </c>
      <c r="I537" s="8">
        <v>0</v>
      </c>
      <c r="J537" s="69"/>
      <c r="K537" t="s">
        <v>1571</v>
      </c>
    </row>
    <row r="538" spans="1:11" x14ac:dyDescent="0.25">
      <c r="A538" s="5" t="s">
        <v>22</v>
      </c>
      <c r="B538" t="s">
        <v>118</v>
      </c>
      <c r="C538" t="s">
        <v>2119</v>
      </c>
      <c r="D538" t="s">
        <v>701</v>
      </c>
      <c r="E538">
        <v>0</v>
      </c>
      <c r="F538" t="s">
        <v>702</v>
      </c>
      <c r="G538" t="s">
        <v>2121</v>
      </c>
      <c r="H538" s="9">
        <v>375</v>
      </c>
      <c r="I538" s="8">
        <v>0</v>
      </c>
      <c r="J538" s="69"/>
      <c r="K538" t="s">
        <v>1571</v>
      </c>
    </row>
    <row r="539" spans="1:11" x14ac:dyDescent="0.25">
      <c r="A539" s="5" t="s">
        <v>22</v>
      </c>
      <c r="B539" t="s">
        <v>118</v>
      </c>
      <c r="C539" t="s">
        <v>2119</v>
      </c>
      <c r="D539" t="s">
        <v>701</v>
      </c>
      <c r="E539">
        <v>0</v>
      </c>
      <c r="F539" t="s">
        <v>702</v>
      </c>
      <c r="G539" t="s">
        <v>2122</v>
      </c>
      <c r="H539" s="9">
        <v>375</v>
      </c>
      <c r="I539" s="8">
        <v>0</v>
      </c>
      <c r="J539" s="69"/>
      <c r="K539" t="s">
        <v>1571</v>
      </c>
    </row>
    <row r="540" spans="1:11" x14ac:dyDescent="0.25">
      <c r="A540" s="5" t="s">
        <v>22</v>
      </c>
      <c r="B540" t="s">
        <v>118</v>
      </c>
      <c r="C540" t="s">
        <v>2119</v>
      </c>
      <c r="D540" t="s">
        <v>701</v>
      </c>
      <c r="E540">
        <v>0</v>
      </c>
      <c r="F540" t="s">
        <v>702</v>
      </c>
      <c r="G540" t="s">
        <v>2123</v>
      </c>
      <c r="H540" s="9">
        <v>375</v>
      </c>
      <c r="I540" s="8">
        <v>0</v>
      </c>
      <c r="J540" s="69"/>
      <c r="K540" t="s">
        <v>1571</v>
      </c>
    </row>
    <row r="541" spans="1:11" x14ac:dyDescent="0.25">
      <c r="A541" s="5" t="s">
        <v>22</v>
      </c>
      <c r="B541" t="s">
        <v>118</v>
      </c>
      <c r="C541" t="s">
        <v>2119</v>
      </c>
      <c r="D541" t="s">
        <v>701</v>
      </c>
      <c r="E541">
        <v>0</v>
      </c>
      <c r="F541" t="s">
        <v>702</v>
      </c>
      <c r="G541" t="s">
        <v>2124</v>
      </c>
      <c r="H541" s="9">
        <v>375</v>
      </c>
      <c r="I541" s="8">
        <v>0</v>
      </c>
      <c r="J541" s="69"/>
      <c r="K541" t="s">
        <v>1571</v>
      </c>
    </row>
    <row r="542" spans="1:11" x14ac:dyDescent="0.25">
      <c r="A542" s="5" t="s">
        <v>22</v>
      </c>
      <c r="B542" t="s">
        <v>118</v>
      </c>
      <c r="C542" t="s">
        <v>2119</v>
      </c>
      <c r="D542" t="s">
        <v>701</v>
      </c>
      <c r="E542">
        <v>0</v>
      </c>
      <c r="F542" t="s">
        <v>702</v>
      </c>
      <c r="G542" t="s">
        <v>2125</v>
      </c>
      <c r="H542" s="9">
        <v>375</v>
      </c>
      <c r="I542" s="8">
        <v>0</v>
      </c>
      <c r="J542" s="69"/>
      <c r="K542" t="s">
        <v>1571</v>
      </c>
    </row>
    <row r="543" spans="1:11" x14ac:dyDescent="0.25">
      <c r="A543" s="5" t="s">
        <v>22</v>
      </c>
      <c r="B543" t="s">
        <v>118</v>
      </c>
      <c r="C543" t="s">
        <v>2119</v>
      </c>
      <c r="D543" t="s">
        <v>701</v>
      </c>
      <c r="E543">
        <v>0</v>
      </c>
      <c r="F543" t="s">
        <v>702</v>
      </c>
      <c r="G543" t="s">
        <v>2126</v>
      </c>
      <c r="H543" s="9">
        <v>375</v>
      </c>
      <c r="I543" s="8">
        <v>0</v>
      </c>
      <c r="J543" s="69"/>
      <c r="K543" t="s">
        <v>1571</v>
      </c>
    </row>
    <row r="544" spans="1:11" x14ac:dyDescent="0.25">
      <c r="A544" s="5" t="s">
        <v>22</v>
      </c>
      <c r="B544" t="s">
        <v>118</v>
      </c>
      <c r="C544" t="s">
        <v>2119</v>
      </c>
      <c r="D544" t="s">
        <v>701</v>
      </c>
      <c r="E544">
        <v>0</v>
      </c>
      <c r="F544" t="s">
        <v>702</v>
      </c>
      <c r="G544" t="s">
        <v>2127</v>
      </c>
      <c r="H544" s="9">
        <v>375</v>
      </c>
      <c r="I544" s="8">
        <v>0</v>
      </c>
      <c r="J544" s="69"/>
      <c r="K544" t="s">
        <v>1571</v>
      </c>
    </row>
    <row r="545" spans="1:11" x14ac:dyDescent="0.25">
      <c r="A545" s="5" t="s">
        <v>22</v>
      </c>
      <c r="B545" t="s">
        <v>118</v>
      </c>
      <c r="C545" s="9">
        <v>177.4111111111111</v>
      </c>
      <c r="D545" t="s">
        <v>553</v>
      </c>
      <c r="E545">
        <v>0</v>
      </c>
      <c r="F545" t="s">
        <v>554</v>
      </c>
      <c r="G545" t="s">
        <v>2128</v>
      </c>
      <c r="H545" s="9" t="s">
        <v>555</v>
      </c>
      <c r="I545" s="8">
        <v>0</v>
      </c>
      <c r="J545" s="69"/>
      <c r="K545" t="s">
        <v>1571</v>
      </c>
    </row>
    <row r="546" spans="1:11" x14ac:dyDescent="0.25">
      <c r="A546" s="5" t="s">
        <v>22</v>
      </c>
      <c r="B546" t="s">
        <v>118</v>
      </c>
      <c r="C546" s="9">
        <v>136.84444444444443</v>
      </c>
      <c r="D546" t="s">
        <v>524</v>
      </c>
      <c r="E546">
        <v>0</v>
      </c>
      <c r="F546" t="s">
        <v>525</v>
      </c>
      <c r="G546" t="s">
        <v>2129</v>
      </c>
      <c r="H546" s="9">
        <v>250</v>
      </c>
      <c r="I546" s="8">
        <v>0</v>
      </c>
      <c r="J546" s="69"/>
      <c r="K546" t="s">
        <v>1571</v>
      </c>
    </row>
    <row r="547" spans="1:11" x14ac:dyDescent="0.25">
      <c r="A547" s="5" t="s">
        <v>22</v>
      </c>
      <c r="B547" t="s">
        <v>118</v>
      </c>
      <c r="C547" s="9">
        <v>371.02361111111111</v>
      </c>
      <c r="D547" t="s">
        <v>597</v>
      </c>
      <c r="E547">
        <v>0</v>
      </c>
      <c r="F547" t="s">
        <v>598</v>
      </c>
      <c r="G547" t="s">
        <v>2130</v>
      </c>
      <c r="H547" s="9" t="s">
        <v>599</v>
      </c>
      <c r="I547" s="8">
        <v>0</v>
      </c>
      <c r="J547" s="69"/>
      <c r="K547" t="s">
        <v>1571</v>
      </c>
    </row>
    <row r="548" spans="1:11" x14ac:dyDescent="0.25">
      <c r="A548" s="5" t="s">
        <v>22</v>
      </c>
      <c r="B548" t="s">
        <v>118</v>
      </c>
      <c r="C548" s="9">
        <v>2.1986111111111111</v>
      </c>
      <c r="D548" t="s">
        <v>199</v>
      </c>
      <c r="E548">
        <v>0</v>
      </c>
      <c r="F548" t="s">
        <v>200</v>
      </c>
      <c r="G548" t="s">
        <v>2130</v>
      </c>
      <c r="H548" s="9">
        <v>4.166666666666667</v>
      </c>
      <c r="I548" s="8">
        <v>0</v>
      </c>
      <c r="J548" s="69"/>
      <c r="K548" t="s">
        <v>1571</v>
      </c>
    </row>
    <row r="549" spans="1:11" x14ac:dyDescent="0.25">
      <c r="A549" s="5" t="s">
        <v>22</v>
      </c>
      <c r="B549" t="s">
        <v>118</v>
      </c>
      <c r="C549" t="s">
        <v>2131</v>
      </c>
      <c r="D549" t="s">
        <v>2132</v>
      </c>
      <c r="E549">
        <v>0</v>
      </c>
      <c r="F549" t="s">
        <v>2133</v>
      </c>
      <c r="G549" t="s">
        <v>2134</v>
      </c>
      <c r="H549" s="9">
        <v>62.5</v>
      </c>
      <c r="I549" s="8">
        <v>0</v>
      </c>
      <c r="J549" s="69"/>
      <c r="K549" t="s">
        <v>1571</v>
      </c>
    </row>
    <row r="550" spans="1:11" x14ac:dyDescent="0.25">
      <c r="A550" s="5" t="s">
        <v>22</v>
      </c>
      <c r="B550" t="s">
        <v>118</v>
      </c>
      <c r="C550" s="9">
        <v>258.86388888888888</v>
      </c>
      <c r="D550" t="s">
        <v>580</v>
      </c>
      <c r="E550">
        <v>0</v>
      </c>
      <c r="F550" t="s">
        <v>581</v>
      </c>
      <c r="G550" t="s">
        <v>2135</v>
      </c>
      <c r="H550" s="9">
        <v>62.5</v>
      </c>
      <c r="I550" s="8">
        <v>0</v>
      </c>
      <c r="J550" s="69"/>
      <c r="K550" t="s">
        <v>1571</v>
      </c>
    </row>
    <row r="551" spans="1:11" x14ac:dyDescent="0.25">
      <c r="A551" s="5" t="s">
        <v>22</v>
      </c>
      <c r="B551" t="s">
        <v>118</v>
      </c>
      <c r="C551" s="9">
        <v>383.92361111111109</v>
      </c>
      <c r="D551" t="s">
        <v>600</v>
      </c>
      <c r="E551">
        <v>0</v>
      </c>
      <c r="F551" t="s">
        <v>601</v>
      </c>
      <c r="G551" t="s">
        <v>2136</v>
      </c>
      <c r="H551" s="9" t="s">
        <v>66</v>
      </c>
      <c r="I551" s="8">
        <v>0</v>
      </c>
      <c r="J551" s="69"/>
      <c r="K551" t="s">
        <v>1571</v>
      </c>
    </row>
    <row r="552" spans="1:11" x14ac:dyDescent="0.25">
      <c r="A552" s="5" t="s">
        <v>22</v>
      </c>
      <c r="B552" t="s">
        <v>118</v>
      </c>
      <c r="C552" t="s">
        <v>2081</v>
      </c>
      <c r="D552" t="s">
        <v>733</v>
      </c>
      <c r="E552">
        <v>0</v>
      </c>
      <c r="F552" t="s">
        <v>734</v>
      </c>
      <c r="G552" t="s">
        <v>2137</v>
      </c>
      <c r="H552" t="s">
        <v>38</v>
      </c>
      <c r="I552" s="8">
        <v>0</v>
      </c>
      <c r="J552" s="69"/>
      <c r="K552" t="s">
        <v>1571</v>
      </c>
    </row>
    <row r="553" spans="1:11" x14ac:dyDescent="0.25">
      <c r="A553" s="5" t="s">
        <v>22</v>
      </c>
      <c r="B553" t="s">
        <v>118</v>
      </c>
      <c r="C553" t="s">
        <v>2081</v>
      </c>
      <c r="D553" t="s">
        <v>735</v>
      </c>
      <c r="E553">
        <v>0</v>
      </c>
      <c r="F553" t="s">
        <v>736</v>
      </c>
      <c r="G553" t="s">
        <v>2137</v>
      </c>
      <c r="H553" t="s">
        <v>38</v>
      </c>
      <c r="I553" s="8">
        <v>0</v>
      </c>
      <c r="J553" s="69"/>
      <c r="K553" t="s">
        <v>1571</v>
      </c>
    </row>
    <row r="554" spans="1:11" x14ac:dyDescent="0.25">
      <c r="A554" s="5" t="s">
        <v>22</v>
      </c>
      <c r="B554" t="s">
        <v>118</v>
      </c>
      <c r="C554" t="s">
        <v>2081</v>
      </c>
      <c r="D554" t="s">
        <v>737</v>
      </c>
      <c r="E554">
        <v>0</v>
      </c>
      <c r="F554" t="s">
        <v>738</v>
      </c>
      <c r="G554" t="s">
        <v>2137</v>
      </c>
      <c r="H554" t="s">
        <v>38</v>
      </c>
      <c r="I554" s="8">
        <v>0</v>
      </c>
      <c r="J554" s="69"/>
      <c r="K554" t="s">
        <v>1571</v>
      </c>
    </row>
    <row r="555" spans="1:11" x14ac:dyDescent="0.25">
      <c r="A555" s="5" t="s">
        <v>22</v>
      </c>
      <c r="B555" t="s">
        <v>118</v>
      </c>
      <c r="C555" s="9">
        <v>128.85347222222222</v>
      </c>
      <c r="D555" t="s">
        <v>518</v>
      </c>
      <c r="E555">
        <v>0</v>
      </c>
      <c r="F555" t="s">
        <v>519</v>
      </c>
      <c r="G555" t="s">
        <v>2138</v>
      </c>
      <c r="H555" t="s">
        <v>38</v>
      </c>
      <c r="I555" s="8">
        <v>0</v>
      </c>
      <c r="J555" s="69"/>
      <c r="K555" t="s">
        <v>1571</v>
      </c>
    </row>
    <row r="556" spans="1:11" x14ac:dyDescent="0.25">
      <c r="A556" s="5" t="s">
        <v>22</v>
      </c>
      <c r="B556" t="s">
        <v>118</v>
      </c>
      <c r="C556" t="s">
        <v>2081</v>
      </c>
      <c r="D556" t="s">
        <v>733</v>
      </c>
      <c r="E556">
        <v>0</v>
      </c>
      <c r="F556" t="s">
        <v>734</v>
      </c>
      <c r="G556" t="s">
        <v>2138</v>
      </c>
      <c r="H556" t="s">
        <v>38</v>
      </c>
      <c r="I556" s="8">
        <v>0</v>
      </c>
      <c r="J556" s="69"/>
      <c r="K556" t="s">
        <v>1571</v>
      </c>
    </row>
    <row r="557" spans="1:11" x14ac:dyDescent="0.25">
      <c r="A557" s="5" t="s">
        <v>22</v>
      </c>
      <c r="B557" t="s">
        <v>118</v>
      </c>
      <c r="C557" t="s">
        <v>2081</v>
      </c>
      <c r="D557" t="s">
        <v>828</v>
      </c>
      <c r="E557">
        <v>0</v>
      </c>
      <c r="F557" t="s">
        <v>829</v>
      </c>
      <c r="G557" t="s">
        <v>2138</v>
      </c>
      <c r="H557" t="s">
        <v>38</v>
      </c>
      <c r="I557" s="8">
        <v>0</v>
      </c>
      <c r="J557" s="69"/>
      <c r="K557" t="s">
        <v>1571</v>
      </c>
    </row>
    <row r="558" spans="1:11" x14ac:dyDescent="0.25">
      <c r="A558" s="5" t="s">
        <v>22</v>
      </c>
      <c r="B558" t="s">
        <v>118</v>
      </c>
      <c r="C558" s="9">
        <v>128.85347222222222</v>
      </c>
      <c r="D558" t="s">
        <v>520</v>
      </c>
      <c r="E558">
        <v>0</v>
      </c>
      <c r="F558" t="s">
        <v>521</v>
      </c>
      <c r="G558" t="s">
        <v>2138</v>
      </c>
      <c r="H558" s="9" t="s">
        <v>38</v>
      </c>
      <c r="I558" s="8">
        <v>0</v>
      </c>
      <c r="J558" s="69"/>
      <c r="K558" t="s">
        <v>1571</v>
      </c>
    </row>
    <row r="559" spans="1:11" x14ac:dyDescent="0.25">
      <c r="A559" s="5" t="s">
        <v>22</v>
      </c>
      <c r="B559" t="s">
        <v>118</v>
      </c>
      <c r="C559" s="9">
        <v>12.286111111111111</v>
      </c>
      <c r="D559" t="s">
        <v>155</v>
      </c>
      <c r="E559">
        <v>0</v>
      </c>
      <c r="F559" t="s">
        <v>156</v>
      </c>
      <c r="G559">
        <v>1500224</v>
      </c>
      <c r="H559" s="9">
        <v>12.5</v>
      </c>
      <c r="I559" s="8">
        <v>0</v>
      </c>
      <c r="J559" s="69"/>
      <c r="K559" t="s">
        <v>1571</v>
      </c>
    </row>
    <row r="560" spans="1:11" x14ac:dyDescent="0.25">
      <c r="A560" s="5" t="s">
        <v>22</v>
      </c>
      <c r="B560" t="s">
        <v>118</v>
      </c>
      <c r="C560" t="s">
        <v>2084</v>
      </c>
      <c r="D560" t="s">
        <v>814</v>
      </c>
      <c r="E560">
        <v>0</v>
      </c>
      <c r="F560" t="s">
        <v>815</v>
      </c>
      <c r="G560" t="s">
        <v>2139</v>
      </c>
      <c r="H560" s="9">
        <v>291.66666666666669</v>
      </c>
      <c r="I560" s="8">
        <v>0</v>
      </c>
      <c r="J560" s="69"/>
      <c r="K560" t="s">
        <v>1571</v>
      </c>
    </row>
    <row r="561" spans="1:11" x14ac:dyDescent="0.25">
      <c r="A561" s="5" t="s">
        <v>22</v>
      </c>
      <c r="B561" t="s">
        <v>118</v>
      </c>
      <c r="C561" s="8">
        <v>0.6694444444444444</v>
      </c>
      <c r="D561" t="s">
        <v>157</v>
      </c>
      <c r="E561">
        <v>0</v>
      </c>
      <c r="F561" t="s">
        <v>158</v>
      </c>
      <c r="G561" t="s">
        <v>2139</v>
      </c>
      <c r="H561" s="9">
        <v>8.3333333333333339</v>
      </c>
      <c r="I561" s="8">
        <v>0.83333333333333337</v>
      </c>
      <c r="J561" s="69"/>
      <c r="K561" t="s">
        <v>1571</v>
      </c>
    </row>
    <row r="562" spans="1:11" x14ac:dyDescent="0.25">
      <c r="A562" s="5" t="s">
        <v>22</v>
      </c>
      <c r="B562" t="s">
        <v>118</v>
      </c>
      <c r="C562" t="s">
        <v>2084</v>
      </c>
      <c r="D562" t="s">
        <v>814</v>
      </c>
      <c r="E562">
        <v>0</v>
      </c>
      <c r="F562" t="s">
        <v>815</v>
      </c>
      <c r="G562" t="s">
        <v>2140</v>
      </c>
      <c r="H562" s="9">
        <v>291.66666666666669</v>
      </c>
      <c r="I562" s="8">
        <v>0</v>
      </c>
      <c r="J562" s="69"/>
      <c r="K562" t="s">
        <v>1571</v>
      </c>
    </row>
    <row r="563" spans="1:11" x14ac:dyDescent="0.25">
      <c r="A563" s="5" t="s">
        <v>22</v>
      </c>
      <c r="B563" t="s">
        <v>118</v>
      </c>
      <c r="C563" s="8">
        <v>0.6694444444444444</v>
      </c>
      <c r="D563" t="s">
        <v>157</v>
      </c>
      <c r="E563">
        <v>0</v>
      </c>
      <c r="F563" t="s">
        <v>158</v>
      </c>
      <c r="G563" t="s">
        <v>2140</v>
      </c>
      <c r="H563" s="9">
        <v>8.3333333333333339</v>
      </c>
      <c r="I563" s="8">
        <v>0.83333333333333337</v>
      </c>
      <c r="J563" s="69"/>
      <c r="K563" t="s">
        <v>1571</v>
      </c>
    </row>
    <row r="564" spans="1:11" x14ac:dyDescent="0.25">
      <c r="A564" s="5" t="s">
        <v>22</v>
      </c>
      <c r="B564" t="s">
        <v>118</v>
      </c>
      <c r="C564" t="s">
        <v>2084</v>
      </c>
      <c r="D564" t="s">
        <v>814</v>
      </c>
      <c r="E564">
        <v>0</v>
      </c>
      <c r="F564" t="s">
        <v>815</v>
      </c>
      <c r="G564" t="s">
        <v>2141</v>
      </c>
      <c r="H564" s="9">
        <v>291.66666666666669</v>
      </c>
      <c r="I564" s="8">
        <v>0</v>
      </c>
      <c r="J564" s="69"/>
      <c r="K564" t="s">
        <v>1571</v>
      </c>
    </row>
    <row r="565" spans="1:11" x14ac:dyDescent="0.25">
      <c r="A565" s="5" t="s">
        <v>22</v>
      </c>
      <c r="B565" t="s">
        <v>118</v>
      </c>
      <c r="C565" s="8">
        <v>0.6694444444444444</v>
      </c>
      <c r="D565" t="s">
        <v>157</v>
      </c>
      <c r="E565">
        <v>0</v>
      </c>
      <c r="F565" t="s">
        <v>158</v>
      </c>
      <c r="G565" t="s">
        <v>2141</v>
      </c>
      <c r="H565" s="9">
        <v>8.3333333333333339</v>
      </c>
      <c r="I565" s="8">
        <v>0.83333333333333337</v>
      </c>
      <c r="J565" s="69"/>
      <c r="K565" t="s">
        <v>1571</v>
      </c>
    </row>
    <row r="566" spans="1:11" x14ac:dyDescent="0.25">
      <c r="A566" s="5" t="s">
        <v>22</v>
      </c>
      <c r="B566" t="s">
        <v>118</v>
      </c>
      <c r="C566" t="s">
        <v>2142</v>
      </c>
      <c r="D566" t="s">
        <v>826</v>
      </c>
      <c r="E566">
        <v>0</v>
      </c>
      <c r="F566" t="s">
        <v>827</v>
      </c>
      <c r="G566" t="s">
        <v>2143</v>
      </c>
      <c r="H566" s="9">
        <v>291.66666666666669</v>
      </c>
      <c r="I566" s="8">
        <v>0</v>
      </c>
      <c r="J566" s="69"/>
      <c r="K566" t="s">
        <v>1571</v>
      </c>
    </row>
    <row r="567" spans="1:11" x14ac:dyDescent="0.25">
      <c r="A567" s="5" t="s">
        <v>22</v>
      </c>
      <c r="B567" t="s">
        <v>118</v>
      </c>
      <c r="C567" s="9">
        <v>171.47847222222222</v>
      </c>
      <c r="D567" t="s">
        <v>549</v>
      </c>
      <c r="E567">
        <v>0</v>
      </c>
      <c r="F567" t="s">
        <v>550</v>
      </c>
      <c r="G567" t="s">
        <v>2144</v>
      </c>
      <c r="H567" t="s">
        <v>66</v>
      </c>
      <c r="I567" s="8">
        <v>0</v>
      </c>
      <c r="J567" s="69"/>
      <c r="K567" t="s">
        <v>1571</v>
      </c>
    </row>
    <row r="568" spans="1:11" x14ac:dyDescent="0.25">
      <c r="A568" s="5" t="s">
        <v>22</v>
      </c>
      <c r="B568" t="s">
        <v>118</v>
      </c>
      <c r="C568" s="9">
        <v>398.21041666666667</v>
      </c>
      <c r="D568" t="s">
        <v>600</v>
      </c>
      <c r="E568">
        <v>0</v>
      </c>
      <c r="F568" t="s">
        <v>601</v>
      </c>
      <c r="G568" t="s">
        <v>2145</v>
      </c>
      <c r="H568" t="s">
        <v>66</v>
      </c>
      <c r="I568" s="8">
        <v>0</v>
      </c>
      <c r="J568" s="69"/>
      <c r="K568" t="s">
        <v>1571</v>
      </c>
    </row>
    <row r="569" spans="1:11" x14ac:dyDescent="0.25">
      <c r="A569" s="5" t="s">
        <v>22</v>
      </c>
      <c r="B569" t="s">
        <v>118</v>
      </c>
      <c r="C569" t="s">
        <v>2146</v>
      </c>
      <c r="D569" t="s">
        <v>733</v>
      </c>
      <c r="E569">
        <v>0</v>
      </c>
      <c r="F569" t="s">
        <v>734</v>
      </c>
      <c r="G569" t="s">
        <v>2147</v>
      </c>
      <c r="H569" t="s">
        <v>38</v>
      </c>
      <c r="I569" s="8">
        <v>0</v>
      </c>
      <c r="J569" s="69"/>
      <c r="K569" t="s">
        <v>1571</v>
      </c>
    </row>
    <row r="570" spans="1:11" x14ac:dyDescent="0.25">
      <c r="A570" s="5" t="s">
        <v>22</v>
      </c>
      <c r="B570" t="s">
        <v>118</v>
      </c>
      <c r="C570" t="s">
        <v>2146</v>
      </c>
      <c r="D570" t="s">
        <v>735</v>
      </c>
      <c r="E570">
        <v>0</v>
      </c>
      <c r="F570" t="s">
        <v>736</v>
      </c>
      <c r="G570" t="s">
        <v>2147</v>
      </c>
      <c r="H570" t="s">
        <v>38</v>
      </c>
      <c r="I570" s="8">
        <v>0</v>
      </c>
      <c r="J570" s="69"/>
      <c r="K570" t="s">
        <v>1571</v>
      </c>
    </row>
    <row r="571" spans="1:11" x14ac:dyDescent="0.25">
      <c r="A571" s="5" t="s">
        <v>22</v>
      </c>
      <c r="B571" t="s">
        <v>118</v>
      </c>
      <c r="C571" t="s">
        <v>2146</v>
      </c>
      <c r="D571" t="s">
        <v>737</v>
      </c>
      <c r="E571">
        <v>0</v>
      </c>
      <c r="F571" t="s">
        <v>738</v>
      </c>
      <c r="G571" t="s">
        <v>2147</v>
      </c>
      <c r="H571" t="s">
        <v>38</v>
      </c>
      <c r="I571" s="8">
        <v>0</v>
      </c>
      <c r="J571" s="69"/>
      <c r="K571" t="s">
        <v>1571</v>
      </c>
    </row>
    <row r="572" spans="1:11" x14ac:dyDescent="0.25">
      <c r="A572" s="5" t="s">
        <v>22</v>
      </c>
      <c r="B572" t="s">
        <v>118</v>
      </c>
      <c r="C572" s="9">
        <v>319.00625000000002</v>
      </c>
      <c r="D572" t="s">
        <v>586</v>
      </c>
      <c r="E572">
        <v>0</v>
      </c>
      <c r="F572" t="s">
        <v>587</v>
      </c>
      <c r="G572" t="s">
        <v>2148</v>
      </c>
      <c r="H572" t="s">
        <v>38</v>
      </c>
      <c r="I572" s="8">
        <v>0</v>
      </c>
      <c r="J572" s="69"/>
      <c r="K572" t="s">
        <v>1571</v>
      </c>
    </row>
    <row r="573" spans="1:11" x14ac:dyDescent="0.25">
      <c r="A573" s="5" t="s">
        <v>22</v>
      </c>
      <c r="B573" t="s">
        <v>118</v>
      </c>
      <c r="C573" s="9">
        <v>389.26805555555558</v>
      </c>
      <c r="D573" t="s">
        <v>588</v>
      </c>
      <c r="E573">
        <v>0</v>
      </c>
      <c r="F573" t="s">
        <v>589</v>
      </c>
      <c r="G573" t="s">
        <v>2148</v>
      </c>
      <c r="H573" t="s">
        <v>38</v>
      </c>
      <c r="I573" s="8">
        <v>0</v>
      </c>
      <c r="J573" s="69"/>
      <c r="K573" t="s">
        <v>1571</v>
      </c>
    </row>
    <row r="574" spans="1:11" x14ac:dyDescent="0.25">
      <c r="A574" s="5" t="s">
        <v>22</v>
      </c>
      <c r="B574" t="s">
        <v>118</v>
      </c>
      <c r="C574" t="s">
        <v>2039</v>
      </c>
      <c r="D574" t="s">
        <v>763</v>
      </c>
      <c r="E574">
        <v>0</v>
      </c>
      <c r="F574" t="s">
        <v>764</v>
      </c>
      <c r="G574" t="s">
        <v>2148</v>
      </c>
      <c r="H574" t="s">
        <v>38</v>
      </c>
      <c r="I574" s="8">
        <v>0</v>
      </c>
      <c r="J574" s="69"/>
      <c r="K574" t="s">
        <v>1571</v>
      </c>
    </row>
    <row r="575" spans="1:11" x14ac:dyDescent="0.25">
      <c r="A575" s="5" t="s">
        <v>22</v>
      </c>
      <c r="B575" t="s">
        <v>118</v>
      </c>
      <c r="C575" s="9">
        <v>319.00625000000002</v>
      </c>
      <c r="D575" t="s">
        <v>590</v>
      </c>
      <c r="E575">
        <v>0</v>
      </c>
      <c r="F575" t="s">
        <v>591</v>
      </c>
      <c r="G575" t="s">
        <v>2148</v>
      </c>
      <c r="H575" s="9" t="s">
        <v>38</v>
      </c>
      <c r="I575" s="8">
        <v>0</v>
      </c>
      <c r="J575" s="69"/>
      <c r="K575" t="s">
        <v>1571</v>
      </c>
    </row>
    <row r="576" spans="1:11" x14ac:dyDescent="0.25">
      <c r="A576" s="5" t="s">
        <v>22</v>
      </c>
      <c r="B576" t="s">
        <v>118</v>
      </c>
      <c r="C576" s="9">
        <v>12.5</v>
      </c>
      <c r="D576" t="s">
        <v>155</v>
      </c>
      <c r="E576">
        <v>0</v>
      </c>
      <c r="F576" t="s">
        <v>156</v>
      </c>
      <c r="G576">
        <v>2004893</v>
      </c>
      <c r="H576" s="9">
        <v>12.5</v>
      </c>
      <c r="I576" s="8">
        <v>0</v>
      </c>
      <c r="J576" s="69"/>
      <c r="K576" t="s">
        <v>1571</v>
      </c>
    </row>
    <row r="577" spans="1:11" x14ac:dyDescent="0.25">
      <c r="A577" s="5" t="s">
        <v>22</v>
      </c>
      <c r="B577" t="s">
        <v>118</v>
      </c>
      <c r="C577" s="9">
        <v>44.043750000000003</v>
      </c>
      <c r="D577" t="s">
        <v>428</v>
      </c>
      <c r="E577">
        <v>0</v>
      </c>
      <c r="F577" t="s">
        <v>429</v>
      </c>
      <c r="G577" t="s">
        <v>2149</v>
      </c>
      <c r="H577" s="9">
        <v>62.5</v>
      </c>
      <c r="I577" s="8">
        <v>0</v>
      </c>
      <c r="J577" s="69"/>
      <c r="K577" t="s">
        <v>1571</v>
      </c>
    </row>
    <row r="578" spans="1:11" x14ac:dyDescent="0.25">
      <c r="A578" s="5" t="s">
        <v>22</v>
      </c>
      <c r="B578" t="s">
        <v>118</v>
      </c>
      <c r="C578" s="9">
        <v>44.043750000000003</v>
      </c>
      <c r="D578" t="s">
        <v>428</v>
      </c>
      <c r="E578">
        <v>0</v>
      </c>
      <c r="F578" t="s">
        <v>429</v>
      </c>
      <c r="G578" t="s">
        <v>2150</v>
      </c>
      <c r="H578" s="9">
        <v>62.5</v>
      </c>
      <c r="I578" s="8">
        <v>0</v>
      </c>
      <c r="J578" s="69"/>
      <c r="K578" t="s">
        <v>1571</v>
      </c>
    </row>
    <row r="579" spans="1:11" x14ac:dyDescent="0.25">
      <c r="A579" s="5" t="s">
        <v>22</v>
      </c>
      <c r="B579" t="s">
        <v>118</v>
      </c>
      <c r="C579" s="9">
        <v>44.043750000000003</v>
      </c>
      <c r="D579" t="s">
        <v>428</v>
      </c>
      <c r="E579">
        <v>0</v>
      </c>
      <c r="F579" t="s">
        <v>429</v>
      </c>
      <c r="G579" t="s">
        <v>2151</v>
      </c>
      <c r="H579" s="9">
        <v>62.5</v>
      </c>
      <c r="I579" s="8">
        <v>0</v>
      </c>
      <c r="J579" s="69"/>
      <c r="K579" t="s">
        <v>1571</v>
      </c>
    </row>
    <row r="580" spans="1:11" x14ac:dyDescent="0.25">
      <c r="A580" s="5" t="s">
        <v>22</v>
      </c>
      <c r="B580" t="s">
        <v>118</v>
      </c>
      <c r="C580" s="9">
        <v>109.21597222222222</v>
      </c>
      <c r="D580" t="s">
        <v>510</v>
      </c>
      <c r="E580">
        <v>0</v>
      </c>
      <c r="F580" t="s">
        <v>511</v>
      </c>
      <c r="G580" t="s">
        <v>2152</v>
      </c>
      <c r="H580" t="s">
        <v>38</v>
      </c>
      <c r="I580" s="8">
        <v>0</v>
      </c>
      <c r="J580" s="69"/>
      <c r="K580" t="s">
        <v>1571</v>
      </c>
    </row>
    <row r="581" spans="1:11" x14ac:dyDescent="0.25">
      <c r="A581" s="5" t="s">
        <v>22</v>
      </c>
      <c r="B581" t="s">
        <v>118</v>
      </c>
      <c r="C581" s="9">
        <v>109.21597222222222</v>
      </c>
      <c r="D581" t="s">
        <v>510</v>
      </c>
      <c r="E581">
        <v>0</v>
      </c>
      <c r="F581" t="s">
        <v>511</v>
      </c>
      <c r="G581" t="s">
        <v>2153</v>
      </c>
      <c r="H581" t="s">
        <v>38</v>
      </c>
      <c r="I581" s="8">
        <v>0</v>
      </c>
      <c r="J581" s="69"/>
      <c r="K581" t="s">
        <v>1571</v>
      </c>
    </row>
    <row r="582" spans="1:11" x14ac:dyDescent="0.25">
      <c r="A582" s="5" t="s">
        <v>22</v>
      </c>
      <c r="B582" t="s">
        <v>118</v>
      </c>
      <c r="C582" s="9">
        <v>109.21597222222222</v>
      </c>
      <c r="D582" t="s">
        <v>510</v>
      </c>
      <c r="E582">
        <v>0</v>
      </c>
      <c r="F582" t="s">
        <v>511</v>
      </c>
      <c r="G582" t="s">
        <v>2154</v>
      </c>
      <c r="H582" t="s">
        <v>38</v>
      </c>
      <c r="I582" s="8">
        <v>0</v>
      </c>
      <c r="J582" s="69"/>
      <c r="K582" t="s">
        <v>1571</v>
      </c>
    </row>
    <row r="583" spans="1:11" x14ac:dyDescent="0.25">
      <c r="A583" s="5" t="s">
        <v>22</v>
      </c>
      <c r="B583" t="s">
        <v>118</v>
      </c>
      <c r="C583" s="9">
        <v>109.21597222222222</v>
      </c>
      <c r="D583" t="s">
        <v>510</v>
      </c>
      <c r="E583">
        <v>0</v>
      </c>
      <c r="F583" t="s">
        <v>511</v>
      </c>
      <c r="G583" t="s">
        <v>2155</v>
      </c>
      <c r="H583" t="s">
        <v>38</v>
      </c>
      <c r="I583" s="8">
        <v>0</v>
      </c>
      <c r="J583" s="69"/>
      <c r="K583" t="s">
        <v>1571</v>
      </c>
    </row>
    <row r="584" spans="1:11" x14ac:dyDescent="0.25">
      <c r="A584" s="5" t="s">
        <v>22</v>
      </c>
      <c r="B584" t="s">
        <v>118</v>
      </c>
      <c r="C584" s="9">
        <v>44.043750000000003</v>
      </c>
      <c r="D584" t="s">
        <v>428</v>
      </c>
      <c r="E584">
        <v>0</v>
      </c>
      <c r="F584" t="s">
        <v>429</v>
      </c>
      <c r="G584" t="s">
        <v>2156</v>
      </c>
      <c r="H584" s="9">
        <v>62.5</v>
      </c>
      <c r="I584" s="8">
        <v>0</v>
      </c>
      <c r="J584" s="69"/>
      <c r="K584" t="s">
        <v>1571</v>
      </c>
    </row>
    <row r="585" spans="1:11" x14ac:dyDescent="0.25">
      <c r="A585" s="5" t="s">
        <v>22</v>
      </c>
      <c r="B585" t="s">
        <v>118</v>
      </c>
      <c r="C585" s="9">
        <v>12.5</v>
      </c>
      <c r="D585" t="s">
        <v>249</v>
      </c>
      <c r="E585">
        <v>0</v>
      </c>
      <c r="F585" t="s">
        <v>250</v>
      </c>
      <c r="G585" t="s">
        <v>2157</v>
      </c>
      <c r="H585" s="9">
        <v>12.5</v>
      </c>
      <c r="I585" s="8">
        <v>0</v>
      </c>
      <c r="J585" s="69"/>
      <c r="K585" t="s">
        <v>1571</v>
      </c>
    </row>
    <row r="586" spans="1:11" x14ac:dyDescent="0.25">
      <c r="A586" s="5" t="s">
        <v>22</v>
      </c>
      <c r="B586" t="s">
        <v>118</v>
      </c>
      <c r="C586" s="9">
        <v>44.106250000000003</v>
      </c>
      <c r="D586" t="s">
        <v>430</v>
      </c>
      <c r="E586">
        <v>0</v>
      </c>
      <c r="F586" t="s">
        <v>431</v>
      </c>
      <c r="G586" t="s">
        <v>2158</v>
      </c>
      <c r="H586" s="9">
        <v>208.33333333333334</v>
      </c>
      <c r="I586" s="8">
        <v>0</v>
      </c>
      <c r="J586" s="69"/>
      <c r="K586" t="s">
        <v>1571</v>
      </c>
    </row>
    <row r="587" spans="1:11" x14ac:dyDescent="0.25">
      <c r="A587" s="5" t="s">
        <v>22</v>
      </c>
      <c r="B587" t="s">
        <v>118</v>
      </c>
      <c r="C587" s="9">
        <v>10.706250000000001</v>
      </c>
      <c r="D587" t="s">
        <v>249</v>
      </c>
      <c r="E587">
        <v>0</v>
      </c>
      <c r="F587" t="s">
        <v>250</v>
      </c>
      <c r="G587" t="s">
        <v>2159</v>
      </c>
      <c r="H587" s="9">
        <v>12.5</v>
      </c>
      <c r="I587" s="8">
        <v>0</v>
      </c>
      <c r="J587" s="69"/>
      <c r="K587" t="s">
        <v>1571</v>
      </c>
    </row>
    <row r="588" spans="1:11" x14ac:dyDescent="0.25">
      <c r="A588" s="5" t="s">
        <v>22</v>
      </c>
      <c r="B588" t="s">
        <v>118</v>
      </c>
      <c r="C588" s="9">
        <v>10.736805555555556</v>
      </c>
      <c r="D588" t="s">
        <v>155</v>
      </c>
      <c r="E588">
        <v>0</v>
      </c>
      <c r="F588" t="s">
        <v>156</v>
      </c>
      <c r="G588">
        <v>2200835</v>
      </c>
      <c r="H588" s="9">
        <v>12.5</v>
      </c>
      <c r="I588" s="8">
        <v>0</v>
      </c>
      <c r="J588" s="69"/>
      <c r="K588" t="s">
        <v>1571</v>
      </c>
    </row>
    <row r="589" spans="1:11" x14ac:dyDescent="0.25">
      <c r="A589" s="5" t="s">
        <v>22</v>
      </c>
      <c r="B589" t="s">
        <v>118</v>
      </c>
      <c r="C589" s="9">
        <v>81.365277777777777</v>
      </c>
      <c r="D589" t="s">
        <v>474</v>
      </c>
      <c r="E589">
        <v>0</v>
      </c>
      <c r="F589" t="s">
        <v>475</v>
      </c>
      <c r="G589" t="s">
        <v>2160</v>
      </c>
      <c r="H589" s="9">
        <v>83.333333333333329</v>
      </c>
      <c r="I589" s="8">
        <v>0</v>
      </c>
      <c r="J589" s="69"/>
      <c r="K589" t="s">
        <v>1571</v>
      </c>
    </row>
    <row r="590" spans="1:11" x14ac:dyDescent="0.25">
      <c r="A590" s="5" t="s">
        <v>22</v>
      </c>
      <c r="B590" t="s">
        <v>118</v>
      </c>
      <c r="C590" s="9">
        <v>81.365277777777777</v>
      </c>
      <c r="D590" t="s">
        <v>476</v>
      </c>
      <c r="E590">
        <v>0</v>
      </c>
      <c r="F590" t="s">
        <v>477</v>
      </c>
      <c r="G590" t="s">
        <v>2160</v>
      </c>
      <c r="H590" s="9">
        <v>83.333333333333329</v>
      </c>
      <c r="I590" s="8">
        <v>0</v>
      </c>
      <c r="J590" s="69"/>
      <c r="K590" t="s">
        <v>1571</v>
      </c>
    </row>
    <row r="591" spans="1:11" x14ac:dyDescent="0.25">
      <c r="A591" s="5" t="s">
        <v>22</v>
      </c>
      <c r="B591" t="s">
        <v>118</v>
      </c>
      <c r="C591" s="9">
        <v>6.9625000000000004</v>
      </c>
      <c r="D591" t="s">
        <v>155</v>
      </c>
      <c r="E591">
        <v>0</v>
      </c>
      <c r="F591" t="s">
        <v>156</v>
      </c>
      <c r="G591">
        <v>2305200</v>
      </c>
      <c r="H591" s="9">
        <v>12.5</v>
      </c>
      <c r="I591" s="8">
        <v>0</v>
      </c>
      <c r="J591" s="69"/>
      <c r="K591" t="s">
        <v>1571</v>
      </c>
    </row>
    <row r="592" spans="1:11" x14ac:dyDescent="0.25">
      <c r="A592" s="5" t="s">
        <v>22</v>
      </c>
      <c r="B592" t="s">
        <v>118</v>
      </c>
      <c r="C592" s="9">
        <v>81.365277777777777</v>
      </c>
      <c r="D592" t="s">
        <v>474</v>
      </c>
      <c r="E592">
        <v>0</v>
      </c>
      <c r="F592" t="s">
        <v>475</v>
      </c>
      <c r="G592" t="s">
        <v>2161</v>
      </c>
      <c r="H592" s="9">
        <v>83.333333333333329</v>
      </c>
      <c r="I592" s="8">
        <v>0</v>
      </c>
      <c r="J592" s="69"/>
      <c r="K592" t="s">
        <v>1571</v>
      </c>
    </row>
    <row r="593" spans="1:11" x14ac:dyDescent="0.25">
      <c r="A593" s="5" t="s">
        <v>22</v>
      </c>
      <c r="B593" t="s">
        <v>118</v>
      </c>
      <c r="C593" s="9">
        <v>81.365277777777777</v>
      </c>
      <c r="D593" t="s">
        <v>476</v>
      </c>
      <c r="E593">
        <v>0</v>
      </c>
      <c r="F593" t="s">
        <v>477</v>
      </c>
      <c r="G593" t="s">
        <v>2161</v>
      </c>
      <c r="H593" s="9">
        <v>83.333333333333329</v>
      </c>
      <c r="I593" s="8">
        <v>0</v>
      </c>
      <c r="J593" s="69"/>
      <c r="K593" t="s">
        <v>1571</v>
      </c>
    </row>
    <row r="594" spans="1:11" x14ac:dyDescent="0.25">
      <c r="A594" s="5" t="s">
        <v>22</v>
      </c>
      <c r="B594" t="s">
        <v>118</v>
      </c>
      <c r="C594" s="9">
        <v>81.365277777777777</v>
      </c>
      <c r="D594" t="s">
        <v>478</v>
      </c>
      <c r="E594">
        <v>0</v>
      </c>
      <c r="F594" t="s">
        <v>479</v>
      </c>
      <c r="G594" t="s">
        <v>2162</v>
      </c>
      <c r="H594" s="9">
        <v>83.333333333333329</v>
      </c>
      <c r="I594" s="8">
        <v>0</v>
      </c>
      <c r="J594" s="69"/>
      <c r="K594" t="s">
        <v>1571</v>
      </c>
    </row>
    <row r="595" spans="1:11" x14ac:dyDescent="0.25">
      <c r="A595" s="5" t="s">
        <v>22</v>
      </c>
      <c r="B595" t="s">
        <v>118</v>
      </c>
      <c r="C595" s="9">
        <v>81.365277777777777</v>
      </c>
      <c r="D595" t="s">
        <v>480</v>
      </c>
      <c r="E595">
        <v>0</v>
      </c>
      <c r="F595" t="s">
        <v>481</v>
      </c>
      <c r="G595" t="s">
        <v>2163</v>
      </c>
      <c r="H595" s="9">
        <v>83.333333333333329</v>
      </c>
      <c r="I595" s="8">
        <v>0</v>
      </c>
      <c r="J595" s="69"/>
      <c r="K595" t="s">
        <v>1571</v>
      </c>
    </row>
    <row r="596" spans="1:11" x14ac:dyDescent="0.25">
      <c r="A596" s="5" t="s">
        <v>22</v>
      </c>
      <c r="B596" t="s">
        <v>118</v>
      </c>
      <c r="C596" s="9">
        <v>81.365277777777777</v>
      </c>
      <c r="D596" t="s">
        <v>482</v>
      </c>
      <c r="E596">
        <v>0</v>
      </c>
      <c r="F596" t="s">
        <v>483</v>
      </c>
      <c r="G596" t="s">
        <v>2163</v>
      </c>
      <c r="H596" s="9">
        <v>83.333333333333329</v>
      </c>
      <c r="I596" s="8">
        <v>0</v>
      </c>
      <c r="J596" s="69"/>
      <c r="K596" t="s">
        <v>1571</v>
      </c>
    </row>
    <row r="597" spans="1:11" x14ac:dyDescent="0.25">
      <c r="A597" s="5" t="s">
        <v>22</v>
      </c>
      <c r="B597" t="s">
        <v>118</v>
      </c>
      <c r="C597" s="9">
        <v>81.365277777777777</v>
      </c>
      <c r="D597" t="s">
        <v>480</v>
      </c>
      <c r="E597">
        <v>0</v>
      </c>
      <c r="F597" t="s">
        <v>481</v>
      </c>
      <c r="G597" t="s">
        <v>2164</v>
      </c>
      <c r="H597" s="9">
        <v>83.333333333333329</v>
      </c>
      <c r="I597" s="8">
        <v>0</v>
      </c>
      <c r="J597" s="69"/>
      <c r="K597" t="s">
        <v>1571</v>
      </c>
    </row>
    <row r="598" spans="1:11" x14ac:dyDescent="0.25">
      <c r="A598" s="5" t="s">
        <v>22</v>
      </c>
      <c r="B598" t="s">
        <v>118</v>
      </c>
      <c r="C598" s="9">
        <v>81.365277777777777</v>
      </c>
      <c r="D598" t="s">
        <v>482</v>
      </c>
      <c r="E598">
        <v>0</v>
      </c>
      <c r="F598" t="s">
        <v>483</v>
      </c>
      <c r="G598" t="s">
        <v>2164</v>
      </c>
      <c r="H598" s="9">
        <v>83.333333333333329</v>
      </c>
      <c r="I598" s="8">
        <v>0</v>
      </c>
      <c r="J598" s="69"/>
      <c r="K598" t="s">
        <v>1571</v>
      </c>
    </row>
    <row r="599" spans="1:11" x14ac:dyDescent="0.25">
      <c r="A599" s="5" t="s">
        <v>22</v>
      </c>
      <c r="B599" t="s">
        <v>118</v>
      </c>
      <c r="C599" s="9">
        <v>128.85347222222222</v>
      </c>
      <c r="D599" t="s">
        <v>518</v>
      </c>
      <c r="E599">
        <v>0</v>
      </c>
      <c r="F599" t="s">
        <v>519</v>
      </c>
      <c r="G599" t="s">
        <v>2165</v>
      </c>
      <c r="H599" t="s">
        <v>38</v>
      </c>
      <c r="I599" s="8">
        <v>0</v>
      </c>
      <c r="J599" s="69"/>
      <c r="K599" t="s">
        <v>1571</v>
      </c>
    </row>
    <row r="600" spans="1:11" x14ac:dyDescent="0.25">
      <c r="A600" s="5" t="s">
        <v>22</v>
      </c>
      <c r="B600" t="s">
        <v>118</v>
      </c>
      <c r="C600" t="s">
        <v>2081</v>
      </c>
      <c r="D600" t="s">
        <v>733</v>
      </c>
      <c r="E600">
        <v>0</v>
      </c>
      <c r="F600" t="s">
        <v>734</v>
      </c>
      <c r="G600" t="s">
        <v>2165</v>
      </c>
      <c r="H600" s="9" t="s">
        <v>38</v>
      </c>
      <c r="I600" s="8">
        <v>0</v>
      </c>
      <c r="J600" s="69"/>
      <c r="K600" t="s">
        <v>1571</v>
      </c>
    </row>
    <row r="601" spans="1:11" x14ac:dyDescent="0.25">
      <c r="A601" s="5" t="s">
        <v>22</v>
      </c>
      <c r="B601" t="s">
        <v>118</v>
      </c>
      <c r="C601" t="s">
        <v>2081</v>
      </c>
      <c r="D601" t="s">
        <v>828</v>
      </c>
      <c r="E601">
        <v>0</v>
      </c>
      <c r="F601" t="s">
        <v>829</v>
      </c>
      <c r="G601" t="s">
        <v>2165</v>
      </c>
      <c r="H601" s="9" t="s">
        <v>38</v>
      </c>
      <c r="I601" s="8">
        <v>0</v>
      </c>
      <c r="J601" s="69"/>
      <c r="K601" t="s">
        <v>1571</v>
      </c>
    </row>
    <row r="602" spans="1:11" x14ac:dyDescent="0.25">
      <c r="A602" s="5" t="s">
        <v>22</v>
      </c>
      <c r="B602" t="s">
        <v>118</v>
      </c>
      <c r="C602" s="9">
        <v>128.85347222222222</v>
      </c>
      <c r="D602" t="s">
        <v>520</v>
      </c>
      <c r="E602">
        <v>0</v>
      </c>
      <c r="F602" t="s">
        <v>521</v>
      </c>
      <c r="G602" t="s">
        <v>2165</v>
      </c>
      <c r="H602" t="s">
        <v>38</v>
      </c>
      <c r="I602" s="8">
        <v>0</v>
      </c>
      <c r="J602" s="69"/>
      <c r="K602" t="s">
        <v>1571</v>
      </c>
    </row>
    <row r="603" spans="1:11" x14ac:dyDescent="0.25">
      <c r="A603" s="5" t="s">
        <v>22</v>
      </c>
      <c r="B603" t="s">
        <v>118</v>
      </c>
      <c r="C603" s="9">
        <v>272.44930555555555</v>
      </c>
      <c r="D603" t="s">
        <v>551</v>
      </c>
      <c r="E603">
        <v>0</v>
      </c>
      <c r="F603" t="s">
        <v>552</v>
      </c>
      <c r="G603" t="s">
        <v>2166</v>
      </c>
      <c r="H603" t="s">
        <v>66</v>
      </c>
      <c r="I603" s="8">
        <v>0</v>
      </c>
      <c r="J603" s="69"/>
      <c r="K603" t="s">
        <v>1571</v>
      </c>
    </row>
    <row r="604" spans="1:11" x14ac:dyDescent="0.25">
      <c r="A604" s="5" t="s">
        <v>22</v>
      </c>
      <c r="B604" t="s">
        <v>118</v>
      </c>
      <c r="C604" s="9">
        <v>5.4666666666666668</v>
      </c>
      <c r="D604" t="s">
        <v>151</v>
      </c>
      <c r="E604">
        <v>0</v>
      </c>
      <c r="F604" t="s">
        <v>152</v>
      </c>
      <c r="G604" t="s">
        <v>2166</v>
      </c>
      <c r="H604" s="9">
        <v>6.25</v>
      </c>
      <c r="I604" s="8">
        <v>0</v>
      </c>
      <c r="J604" s="69"/>
      <c r="K604" t="s">
        <v>1571</v>
      </c>
    </row>
    <row r="605" spans="1:11" x14ac:dyDescent="0.25">
      <c r="A605" s="5" t="s">
        <v>22</v>
      </c>
      <c r="B605" t="s">
        <v>118</v>
      </c>
      <c r="C605" s="9">
        <v>11.789583333333333</v>
      </c>
      <c r="D605" t="s">
        <v>320</v>
      </c>
      <c r="E605">
        <v>0</v>
      </c>
      <c r="F605" t="s">
        <v>321</v>
      </c>
      <c r="G605" t="s">
        <v>2166</v>
      </c>
      <c r="H605" s="9">
        <v>25</v>
      </c>
      <c r="I605" s="8">
        <v>0</v>
      </c>
      <c r="J605" s="69"/>
      <c r="K605" t="s">
        <v>1571</v>
      </c>
    </row>
    <row r="606" spans="1:11" x14ac:dyDescent="0.25">
      <c r="A606" s="5" t="s">
        <v>22</v>
      </c>
      <c r="B606" t="s">
        <v>118</v>
      </c>
      <c r="C606" s="9">
        <v>5.4666666666666668</v>
      </c>
      <c r="D606" t="s">
        <v>153</v>
      </c>
      <c r="E606">
        <v>0</v>
      </c>
      <c r="F606" t="s">
        <v>154</v>
      </c>
      <c r="G606" t="s">
        <v>2166</v>
      </c>
      <c r="H606" s="9">
        <v>6.25</v>
      </c>
      <c r="I606" s="8">
        <v>0</v>
      </c>
      <c r="J606" s="69"/>
      <c r="K606" t="s">
        <v>1571</v>
      </c>
    </row>
    <row r="607" spans="1:11" x14ac:dyDescent="0.25">
      <c r="A607" s="5" t="s">
        <v>22</v>
      </c>
      <c r="B607" t="s">
        <v>118</v>
      </c>
      <c r="C607" s="9">
        <v>11.789583333333333</v>
      </c>
      <c r="D607" t="s">
        <v>181</v>
      </c>
      <c r="E607">
        <v>0</v>
      </c>
      <c r="F607" t="s">
        <v>182</v>
      </c>
      <c r="G607" t="s">
        <v>2166</v>
      </c>
      <c r="H607" s="9">
        <v>25</v>
      </c>
      <c r="I607" s="8">
        <v>0</v>
      </c>
      <c r="J607" s="69"/>
      <c r="K607" t="s">
        <v>1571</v>
      </c>
    </row>
    <row r="608" spans="1:11" x14ac:dyDescent="0.25">
      <c r="A608" s="5" t="s">
        <v>22</v>
      </c>
      <c r="B608" t="s">
        <v>118</v>
      </c>
      <c r="C608" t="s">
        <v>2167</v>
      </c>
      <c r="D608" t="s">
        <v>712</v>
      </c>
      <c r="E608">
        <v>0</v>
      </c>
      <c r="F608" t="s">
        <v>713</v>
      </c>
      <c r="G608" t="s">
        <v>2168</v>
      </c>
      <c r="H608" t="s">
        <v>38</v>
      </c>
      <c r="I608" s="8">
        <v>0</v>
      </c>
      <c r="J608" s="69"/>
      <c r="K608" t="s">
        <v>1571</v>
      </c>
    </row>
    <row r="609" spans="1:11" x14ac:dyDescent="0.25">
      <c r="A609" s="5" t="s">
        <v>1463</v>
      </c>
      <c r="B609" t="s">
        <v>890</v>
      </c>
      <c r="C609" t="s">
        <v>38</v>
      </c>
      <c r="D609" t="s">
        <v>891</v>
      </c>
      <c r="E609">
        <v>0</v>
      </c>
      <c r="F609" t="s">
        <v>892</v>
      </c>
      <c r="G609" t="s">
        <v>1571</v>
      </c>
      <c r="H609" t="s">
        <v>38</v>
      </c>
      <c r="I609" s="8">
        <v>0</v>
      </c>
      <c r="J609" s="69"/>
      <c r="K609" t="s">
        <v>1571</v>
      </c>
    </row>
    <row r="610" spans="1:11" x14ac:dyDescent="0.25">
      <c r="A610" s="5" t="s">
        <v>1463</v>
      </c>
      <c r="B610" t="s">
        <v>893</v>
      </c>
      <c r="C610" t="s">
        <v>2169</v>
      </c>
      <c r="D610" t="s">
        <v>894</v>
      </c>
      <c r="E610">
        <v>0</v>
      </c>
      <c r="F610" t="s">
        <v>895</v>
      </c>
      <c r="G610" t="s">
        <v>1571</v>
      </c>
      <c r="H610" t="s">
        <v>38</v>
      </c>
      <c r="I610" s="8">
        <v>0</v>
      </c>
      <c r="J610" s="69"/>
      <c r="K610" t="s">
        <v>1571</v>
      </c>
    </row>
    <row r="611" spans="1:11" x14ac:dyDescent="0.25">
      <c r="A611" s="5" t="s">
        <v>1463</v>
      </c>
      <c r="B611" t="s">
        <v>896</v>
      </c>
      <c r="C611" s="9">
        <v>416.43541666666664</v>
      </c>
      <c r="D611" t="s">
        <v>897</v>
      </c>
      <c r="E611">
        <v>0</v>
      </c>
      <c r="F611" t="s">
        <v>898</v>
      </c>
      <c r="G611" t="s">
        <v>1571</v>
      </c>
      <c r="H611" t="s">
        <v>66</v>
      </c>
      <c r="I611" s="8">
        <v>0</v>
      </c>
      <c r="J611" s="69"/>
      <c r="K611" t="s">
        <v>1571</v>
      </c>
    </row>
    <row r="612" spans="1:11" x14ac:dyDescent="0.25">
      <c r="A612" s="5" t="s">
        <v>1463</v>
      </c>
      <c r="B612" t="s">
        <v>899</v>
      </c>
      <c r="C612" t="s">
        <v>2170</v>
      </c>
      <c r="D612" t="s">
        <v>900</v>
      </c>
      <c r="E612">
        <v>0</v>
      </c>
      <c r="F612" t="s">
        <v>901</v>
      </c>
      <c r="G612" t="s">
        <v>1571</v>
      </c>
      <c r="H612" t="s">
        <v>38</v>
      </c>
      <c r="I612" s="8">
        <v>0</v>
      </c>
      <c r="J612" s="69"/>
      <c r="K612" t="s">
        <v>1571</v>
      </c>
    </row>
    <row r="613" spans="1:11" x14ac:dyDescent="0.25">
      <c r="A613" s="5" t="s">
        <v>1463</v>
      </c>
      <c r="B613" t="s">
        <v>902</v>
      </c>
      <c r="C613">
        <v>9999</v>
      </c>
      <c r="D613" t="s">
        <v>905</v>
      </c>
      <c r="E613">
        <v>0</v>
      </c>
      <c r="F613" t="s">
        <v>906</v>
      </c>
      <c r="G613" t="s">
        <v>1571</v>
      </c>
      <c r="H613">
        <v>9999</v>
      </c>
      <c r="I613" s="8">
        <v>0</v>
      </c>
      <c r="J613" s="69"/>
      <c r="K613" t="s">
        <v>1571</v>
      </c>
    </row>
    <row r="614" spans="1:11" x14ac:dyDescent="0.25">
      <c r="A614" s="5" t="s">
        <v>1463</v>
      </c>
      <c r="B614" t="s">
        <v>902</v>
      </c>
      <c r="C614">
        <v>109.82</v>
      </c>
      <c r="D614" t="s">
        <v>903</v>
      </c>
      <c r="E614">
        <v>0</v>
      </c>
      <c r="F614" t="s">
        <v>904</v>
      </c>
      <c r="G614" t="s">
        <v>1943</v>
      </c>
      <c r="H614">
        <v>120</v>
      </c>
      <c r="I614" s="8">
        <v>0</v>
      </c>
      <c r="J614" s="69"/>
      <c r="K614" t="s">
        <v>1571</v>
      </c>
    </row>
    <row r="615" spans="1:11" x14ac:dyDescent="0.25">
      <c r="A615" s="5" t="s">
        <v>1463</v>
      </c>
      <c r="B615" t="s">
        <v>907</v>
      </c>
      <c r="C615">
        <v>9999</v>
      </c>
      <c r="D615" t="s">
        <v>910</v>
      </c>
      <c r="E615">
        <v>0</v>
      </c>
      <c r="F615" t="s">
        <v>911</v>
      </c>
      <c r="G615" t="s">
        <v>1571</v>
      </c>
      <c r="H615">
        <v>9999</v>
      </c>
      <c r="I615" s="8">
        <v>0</v>
      </c>
      <c r="J615" s="69"/>
      <c r="K615" t="s">
        <v>1571</v>
      </c>
    </row>
    <row r="616" spans="1:11" x14ac:dyDescent="0.25">
      <c r="A616" s="5" t="s">
        <v>1463</v>
      </c>
      <c r="B616" t="s">
        <v>907</v>
      </c>
      <c r="C616">
        <v>480</v>
      </c>
      <c r="D616" t="s">
        <v>908</v>
      </c>
      <c r="E616">
        <v>0</v>
      </c>
      <c r="F616" t="s">
        <v>909</v>
      </c>
      <c r="G616" t="s">
        <v>1943</v>
      </c>
      <c r="H616">
        <v>480</v>
      </c>
      <c r="I616" s="8">
        <v>0</v>
      </c>
      <c r="J616" s="69"/>
      <c r="K616" t="s">
        <v>1571</v>
      </c>
    </row>
    <row r="617" spans="1:11" x14ac:dyDescent="0.25">
      <c r="A617" s="5" t="s">
        <v>1463</v>
      </c>
      <c r="B617" t="s">
        <v>912</v>
      </c>
      <c r="C617">
        <v>18632.02</v>
      </c>
      <c r="D617" t="s">
        <v>923</v>
      </c>
      <c r="E617">
        <v>0</v>
      </c>
      <c r="F617" t="s">
        <v>924</v>
      </c>
      <c r="G617" t="s">
        <v>1571</v>
      </c>
      <c r="H617">
        <v>20000</v>
      </c>
      <c r="I617" s="8">
        <v>0</v>
      </c>
      <c r="J617" s="69"/>
      <c r="K617" t="s">
        <v>1571</v>
      </c>
    </row>
    <row r="618" spans="1:11" x14ac:dyDescent="0.25">
      <c r="A618" s="5" t="s">
        <v>1463</v>
      </c>
      <c r="B618" t="s">
        <v>912</v>
      </c>
      <c r="C618">
        <v>7245.23</v>
      </c>
      <c r="D618" t="s">
        <v>914</v>
      </c>
      <c r="E618">
        <v>0</v>
      </c>
      <c r="F618" t="s">
        <v>74</v>
      </c>
      <c r="G618">
        <v>1016224604718</v>
      </c>
      <c r="H618">
        <v>10000</v>
      </c>
      <c r="I618" s="8">
        <v>0</v>
      </c>
      <c r="J618" s="69"/>
      <c r="K618" t="s">
        <v>1571</v>
      </c>
    </row>
    <row r="619" spans="1:11" x14ac:dyDescent="0.25">
      <c r="A619" s="5" t="s">
        <v>1463</v>
      </c>
      <c r="B619" t="s">
        <v>912</v>
      </c>
      <c r="C619">
        <v>7245.23</v>
      </c>
      <c r="D619" t="s">
        <v>915</v>
      </c>
      <c r="E619">
        <v>0</v>
      </c>
      <c r="F619" t="s">
        <v>76</v>
      </c>
      <c r="G619">
        <v>1016224604781</v>
      </c>
      <c r="H619">
        <v>10000</v>
      </c>
      <c r="I619" s="8">
        <v>0</v>
      </c>
      <c r="J619" s="69"/>
      <c r="K619" t="s">
        <v>1571</v>
      </c>
    </row>
    <row r="620" spans="1:11" x14ac:dyDescent="0.25">
      <c r="A620" s="5" t="s">
        <v>1463</v>
      </c>
      <c r="B620" t="s">
        <v>912</v>
      </c>
      <c r="C620">
        <v>7245.23</v>
      </c>
      <c r="D620" t="s">
        <v>916</v>
      </c>
      <c r="E620">
        <v>0</v>
      </c>
      <c r="F620" t="s">
        <v>78</v>
      </c>
      <c r="G620">
        <v>1016224601397</v>
      </c>
      <c r="H620">
        <v>10000</v>
      </c>
      <c r="I620" s="8">
        <v>0</v>
      </c>
      <c r="J620" s="69"/>
      <c r="K620" t="s">
        <v>1571</v>
      </c>
    </row>
    <row r="621" spans="1:11" x14ac:dyDescent="0.25">
      <c r="A621" s="5" t="s">
        <v>1463</v>
      </c>
      <c r="B621" t="s">
        <v>912</v>
      </c>
      <c r="C621">
        <v>7245.23</v>
      </c>
      <c r="D621" t="s">
        <v>917</v>
      </c>
      <c r="E621">
        <v>0</v>
      </c>
      <c r="F621" t="s">
        <v>80</v>
      </c>
      <c r="G621">
        <v>1016224605410</v>
      </c>
      <c r="H621">
        <v>10000</v>
      </c>
      <c r="I621" s="8">
        <v>0</v>
      </c>
      <c r="J621" s="69"/>
      <c r="K621" t="s">
        <v>1571</v>
      </c>
    </row>
    <row r="622" spans="1:11" x14ac:dyDescent="0.25">
      <c r="A622" s="5" t="s">
        <v>1463</v>
      </c>
      <c r="B622" t="s">
        <v>912</v>
      </c>
      <c r="C622">
        <v>7245.23</v>
      </c>
      <c r="D622" t="s">
        <v>918</v>
      </c>
      <c r="E622">
        <v>0</v>
      </c>
      <c r="F622" t="s">
        <v>82</v>
      </c>
      <c r="G622" t="s">
        <v>1944</v>
      </c>
      <c r="H622">
        <v>10000</v>
      </c>
      <c r="I622" s="8">
        <v>0</v>
      </c>
      <c r="J622" s="69"/>
      <c r="K622" t="s">
        <v>1571</v>
      </c>
    </row>
    <row r="623" spans="1:11" x14ac:dyDescent="0.25">
      <c r="A623" s="5" t="s">
        <v>1463</v>
      </c>
      <c r="B623" t="s">
        <v>912</v>
      </c>
      <c r="C623">
        <v>7245.23</v>
      </c>
      <c r="D623" t="s">
        <v>919</v>
      </c>
      <c r="E623">
        <v>0</v>
      </c>
      <c r="F623" t="s">
        <v>84</v>
      </c>
      <c r="G623">
        <v>31365102334</v>
      </c>
      <c r="H623">
        <v>10000</v>
      </c>
      <c r="I623" s="8">
        <v>0</v>
      </c>
      <c r="J623" s="69"/>
      <c r="K623" t="s">
        <v>1571</v>
      </c>
    </row>
    <row r="624" spans="1:11" x14ac:dyDescent="0.25">
      <c r="A624" s="5" t="s">
        <v>1463</v>
      </c>
      <c r="B624" t="s">
        <v>912</v>
      </c>
      <c r="C624">
        <v>7245.23</v>
      </c>
      <c r="D624" t="s">
        <v>920</v>
      </c>
      <c r="E624">
        <v>0</v>
      </c>
      <c r="F624" t="s">
        <v>921</v>
      </c>
      <c r="G624">
        <v>916224603882</v>
      </c>
      <c r="H624">
        <v>10000</v>
      </c>
      <c r="I624" s="8">
        <v>0</v>
      </c>
      <c r="J624" s="69"/>
      <c r="K624" t="s">
        <v>1571</v>
      </c>
    </row>
    <row r="625" spans="1:11" x14ac:dyDescent="0.25">
      <c r="A625" s="5" t="s">
        <v>1463</v>
      </c>
      <c r="B625" t="s">
        <v>912</v>
      </c>
      <c r="C625">
        <v>7245.23</v>
      </c>
      <c r="D625" t="s">
        <v>922</v>
      </c>
      <c r="E625">
        <v>0</v>
      </c>
      <c r="F625" t="s">
        <v>88</v>
      </c>
      <c r="G625" t="s">
        <v>1945</v>
      </c>
      <c r="H625">
        <v>10000</v>
      </c>
      <c r="I625" s="8">
        <v>0</v>
      </c>
      <c r="J625" s="69"/>
      <c r="K625" t="s">
        <v>1571</v>
      </c>
    </row>
    <row r="626" spans="1:11" x14ac:dyDescent="0.25">
      <c r="A626" s="5" t="s">
        <v>1463</v>
      </c>
      <c r="B626" t="s">
        <v>912</v>
      </c>
      <c r="C626">
        <v>2938.23</v>
      </c>
      <c r="D626" t="s">
        <v>913</v>
      </c>
      <c r="E626">
        <v>0</v>
      </c>
      <c r="F626" t="s">
        <v>94</v>
      </c>
      <c r="G626">
        <v>56240136</v>
      </c>
      <c r="H626">
        <v>4200</v>
      </c>
      <c r="I626" s="8">
        <v>0</v>
      </c>
      <c r="J626" s="69"/>
      <c r="K626" t="s">
        <v>1571</v>
      </c>
    </row>
    <row r="627" spans="1:11" x14ac:dyDescent="0.25">
      <c r="A627" s="5" t="s">
        <v>1463</v>
      </c>
      <c r="B627" t="s">
        <v>925</v>
      </c>
      <c r="C627">
        <v>9505</v>
      </c>
      <c r="D627" t="s">
        <v>930</v>
      </c>
      <c r="E627">
        <v>0</v>
      </c>
      <c r="F627" t="s">
        <v>65</v>
      </c>
      <c r="G627" t="s">
        <v>1934</v>
      </c>
      <c r="H627">
        <v>15000</v>
      </c>
      <c r="I627" s="8">
        <v>0</v>
      </c>
      <c r="J627" s="69"/>
      <c r="K627" t="s">
        <v>1571</v>
      </c>
    </row>
    <row r="628" spans="1:11" x14ac:dyDescent="0.25">
      <c r="A628" s="5" t="s">
        <v>1463</v>
      </c>
      <c r="B628" t="s">
        <v>925</v>
      </c>
      <c r="C628">
        <v>9505</v>
      </c>
      <c r="D628" t="s">
        <v>931</v>
      </c>
      <c r="E628">
        <v>0</v>
      </c>
      <c r="F628" t="s">
        <v>70</v>
      </c>
      <c r="G628" t="s">
        <v>1936</v>
      </c>
      <c r="H628">
        <v>15000</v>
      </c>
      <c r="I628" s="8">
        <v>0</v>
      </c>
      <c r="J628" s="69"/>
      <c r="K628" t="s">
        <v>1571</v>
      </c>
    </row>
    <row r="629" spans="1:11" x14ac:dyDescent="0.25">
      <c r="A629" s="5" t="s">
        <v>1463</v>
      </c>
      <c r="B629" t="s">
        <v>925</v>
      </c>
      <c r="C629">
        <v>16164</v>
      </c>
      <c r="D629" t="s">
        <v>932</v>
      </c>
      <c r="E629">
        <v>0</v>
      </c>
      <c r="F629" t="s">
        <v>933</v>
      </c>
      <c r="G629" t="s">
        <v>1571</v>
      </c>
      <c r="H629">
        <v>20000</v>
      </c>
      <c r="I629" s="8">
        <v>0</v>
      </c>
      <c r="J629" s="69"/>
      <c r="K629" t="s">
        <v>1571</v>
      </c>
    </row>
    <row r="630" spans="1:11" x14ac:dyDescent="0.25">
      <c r="A630" s="5" t="s">
        <v>1463</v>
      </c>
      <c r="B630" t="s">
        <v>925</v>
      </c>
      <c r="C630">
        <v>6122.5</v>
      </c>
      <c r="D630" t="s">
        <v>926</v>
      </c>
      <c r="E630">
        <v>0</v>
      </c>
      <c r="F630" t="s">
        <v>927</v>
      </c>
      <c r="G630">
        <v>1016240000085</v>
      </c>
      <c r="H630">
        <v>10000</v>
      </c>
      <c r="I630" s="8">
        <v>0</v>
      </c>
      <c r="J630" s="69"/>
      <c r="K630" t="s">
        <v>1571</v>
      </c>
    </row>
    <row r="631" spans="1:11" x14ac:dyDescent="0.25">
      <c r="A631" s="5" t="s">
        <v>1463</v>
      </c>
      <c r="B631" t="s">
        <v>925</v>
      </c>
      <c r="C631" s="9">
        <v>6122.5</v>
      </c>
      <c r="D631" t="s">
        <v>928</v>
      </c>
      <c r="E631">
        <v>0</v>
      </c>
      <c r="F631" t="s">
        <v>929</v>
      </c>
      <c r="G631">
        <v>90137418742</v>
      </c>
      <c r="H631">
        <v>10000</v>
      </c>
      <c r="I631" s="8">
        <v>0</v>
      </c>
      <c r="J631" s="69"/>
      <c r="K631" t="s">
        <v>1571</v>
      </c>
    </row>
    <row r="632" spans="1:11" x14ac:dyDescent="0.25">
      <c r="A632" s="5" t="s">
        <v>1463</v>
      </c>
      <c r="B632" t="s">
        <v>934</v>
      </c>
      <c r="C632">
        <v>9999</v>
      </c>
      <c r="D632" t="s">
        <v>935</v>
      </c>
      <c r="E632">
        <v>0</v>
      </c>
      <c r="F632" t="s">
        <v>936</v>
      </c>
      <c r="G632" t="s">
        <v>1571</v>
      </c>
      <c r="H632">
        <v>9999</v>
      </c>
      <c r="I632" s="8">
        <v>0</v>
      </c>
      <c r="J632" s="69"/>
      <c r="K632" t="s">
        <v>1571</v>
      </c>
    </row>
    <row r="633" spans="1:11" x14ac:dyDescent="0.25">
      <c r="A633" s="5" t="s">
        <v>1463</v>
      </c>
      <c r="B633" t="s">
        <v>934</v>
      </c>
      <c r="C633">
        <v>120</v>
      </c>
      <c r="D633" t="s">
        <v>903</v>
      </c>
      <c r="E633">
        <v>0</v>
      </c>
      <c r="F633" t="s">
        <v>904</v>
      </c>
      <c r="G633" t="s">
        <v>1952</v>
      </c>
      <c r="H633">
        <v>120</v>
      </c>
      <c r="I633">
        <v>0</v>
      </c>
      <c r="J633" s="69"/>
      <c r="K633" t="s">
        <v>1571</v>
      </c>
    </row>
    <row r="634" spans="1:11" x14ac:dyDescent="0.25">
      <c r="A634" s="5" t="s">
        <v>1463</v>
      </c>
      <c r="B634" t="s">
        <v>937</v>
      </c>
      <c r="C634">
        <v>9999</v>
      </c>
      <c r="D634" t="s">
        <v>938</v>
      </c>
      <c r="E634">
        <v>0</v>
      </c>
      <c r="F634" t="s">
        <v>939</v>
      </c>
      <c r="G634" t="s">
        <v>1571</v>
      </c>
      <c r="H634">
        <v>9999</v>
      </c>
      <c r="I634">
        <v>0</v>
      </c>
      <c r="J634" s="69"/>
      <c r="K634" t="s">
        <v>1571</v>
      </c>
    </row>
    <row r="635" spans="1:11" x14ac:dyDescent="0.25">
      <c r="A635" s="5" t="s">
        <v>1463</v>
      </c>
      <c r="B635" t="s">
        <v>937</v>
      </c>
      <c r="C635">
        <v>480</v>
      </c>
      <c r="D635" t="s">
        <v>908</v>
      </c>
      <c r="E635">
        <v>0</v>
      </c>
      <c r="F635" t="s">
        <v>909</v>
      </c>
      <c r="G635" t="s">
        <v>1952</v>
      </c>
      <c r="H635">
        <v>480</v>
      </c>
      <c r="I635">
        <v>0</v>
      </c>
      <c r="J635" s="69"/>
      <c r="K635" t="s">
        <v>1571</v>
      </c>
    </row>
    <row r="636" spans="1:11" x14ac:dyDescent="0.25">
      <c r="A636" s="5" t="s">
        <v>1463</v>
      </c>
      <c r="B636" t="s">
        <v>940</v>
      </c>
      <c r="C636">
        <v>18575.169999999998</v>
      </c>
      <c r="D636" t="s">
        <v>941</v>
      </c>
      <c r="E636">
        <v>0</v>
      </c>
      <c r="F636" t="s">
        <v>942</v>
      </c>
      <c r="G636" t="s">
        <v>1571</v>
      </c>
      <c r="H636">
        <v>20000</v>
      </c>
      <c r="I636">
        <v>0</v>
      </c>
      <c r="J636" s="69"/>
      <c r="K636" t="s">
        <v>1571</v>
      </c>
    </row>
    <row r="637" spans="1:11" x14ac:dyDescent="0.25">
      <c r="A637" s="5" t="s">
        <v>1463</v>
      </c>
      <c r="B637" t="s">
        <v>940</v>
      </c>
      <c r="C637">
        <v>8575.17</v>
      </c>
      <c r="D637" t="s">
        <v>914</v>
      </c>
      <c r="E637">
        <v>0</v>
      </c>
      <c r="F637" t="s">
        <v>74</v>
      </c>
      <c r="G637">
        <v>1316224602741</v>
      </c>
      <c r="H637">
        <v>10000</v>
      </c>
      <c r="I637">
        <v>0</v>
      </c>
      <c r="J637" s="69"/>
      <c r="K637" t="s">
        <v>1571</v>
      </c>
    </row>
    <row r="638" spans="1:11" x14ac:dyDescent="0.25">
      <c r="A638" s="5" t="s">
        <v>1463</v>
      </c>
      <c r="B638" t="s">
        <v>940</v>
      </c>
      <c r="C638">
        <v>8575.17</v>
      </c>
      <c r="D638" t="s">
        <v>919</v>
      </c>
      <c r="E638">
        <v>0</v>
      </c>
      <c r="F638" t="s">
        <v>84</v>
      </c>
      <c r="G638">
        <v>1316224600504</v>
      </c>
      <c r="H638">
        <v>10000</v>
      </c>
      <c r="I638">
        <v>0</v>
      </c>
      <c r="J638" s="69"/>
      <c r="K638" t="s">
        <v>1571</v>
      </c>
    </row>
    <row r="639" spans="1:11" x14ac:dyDescent="0.25">
      <c r="A639" s="5" t="s">
        <v>1463</v>
      </c>
      <c r="B639" t="s">
        <v>940</v>
      </c>
      <c r="C639">
        <v>8575.17</v>
      </c>
      <c r="D639" t="s">
        <v>915</v>
      </c>
      <c r="E639">
        <v>0</v>
      </c>
      <c r="F639" t="s">
        <v>76</v>
      </c>
      <c r="G639">
        <v>1316224601585</v>
      </c>
      <c r="H639">
        <v>10000</v>
      </c>
      <c r="I639">
        <v>0</v>
      </c>
      <c r="J639" s="69"/>
      <c r="K639" t="s">
        <v>1571</v>
      </c>
    </row>
    <row r="640" spans="1:11" x14ac:dyDescent="0.25">
      <c r="A640" s="5" t="s">
        <v>1463</v>
      </c>
      <c r="B640" t="s">
        <v>940</v>
      </c>
      <c r="C640">
        <v>8575.17</v>
      </c>
      <c r="D640" t="s">
        <v>916</v>
      </c>
      <c r="E640">
        <v>0</v>
      </c>
      <c r="F640" t="s">
        <v>78</v>
      </c>
      <c r="G640" t="s">
        <v>1953</v>
      </c>
      <c r="H640">
        <v>10000</v>
      </c>
      <c r="I640">
        <v>0</v>
      </c>
      <c r="J640" s="69"/>
      <c r="K640" t="s">
        <v>1571</v>
      </c>
    </row>
    <row r="641" spans="1:11" x14ac:dyDescent="0.25">
      <c r="A641" s="5" t="s">
        <v>1463</v>
      </c>
      <c r="B641" t="s">
        <v>940</v>
      </c>
      <c r="C641">
        <v>8575.17</v>
      </c>
      <c r="D641" t="s">
        <v>917</v>
      </c>
      <c r="E641">
        <v>0</v>
      </c>
      <c r="F641" t="s">
        <v>80</v>
      </c>
      <c r="G641">
        <v>1316224602455</v>
      </c>
      <c r="H641">
        <v>10000</v>
      </c>
      <c r="I641">
        <v>0</v>
      </c>
      <c r="J641" s="69"/>
      <c r="K641" t="s">
        <v>1571</v>
      </c>
    </row>
    <row r="642" spans="1:11" x14ac:dyDescent="0.25">
      <c r="A642" s="5" t="s">
        <v>1463</v>
      </c>
      <c r="B642" t="s">
        <v>940</v>
      </c>
      <c r="C642">
        <v>8575.17</v>
      </c>
      <c r="D642" t="s">
        <v>918</v>
      </c>
      <c r="E642">
        <v>0</v>
      </c>
      <c r="F642" t="s">
        <v>82</v>
      </c>
      <c r="G642" t="s">
        <v>1954</v>
      </c>
      <c r="H642">
        <v>10000</v>
      </c>
      <c r="I642">
        <v>0</v>
      </c>
      <c r="J642" s="69"/>
      <c r="K642" t="s">
        <v>1571</v>
      </c>
    </row>
    <row r="643" spans="1:11" x14ac:dyDescent="0.25">
      <c r="A643" s="5" t="s">
        <v>1463</v>
      </c>
      <c r="B643" t="s">
        <v>940</v>
      </c>
      <c r="C643">
        <v>8575.17</v>
      </c>
      <c r="D643" t="s">
        <v>920</v>
      </c>
      <c r="E643">
        <v>0</v>
      </c>
      <c r="F643" t="s">
        <v>921</v>
      </c>
      <c r="G643" t="s">
        <v>1955</v>
      </c>
      <c r="H643">
        <v>10000</v>
      </c>
      <c r="I643">
        <v>0</v>
      </c>
      <c r="J643" s="69"/>
      <c r="K643" t="s">
        <v>1571</v>
      </c>
    </row>
    <row r="644" spans="1:11" x14ac:dyDescent="0.25">
      <c r="A644" s="5" t="s">
        <v>1463</v>
      </c>
      <c r="B644" t="s">
        <v>940</v>
      </c>
      <c r="C644">
        <v>8575.17</v>
      </c>
      <c r="D644" t="s">
        <v>922</v>
      </c>
      <c r="E644">
        <v>0</v>
      </c>
      <c r="F644" t="s">
        <v>88</v>
      </c>
      <c r="G644" t="s">
        <v>1956</v>
      </c>
      <c r="H644">
        <v>10000</v>
      </c>
      <c r="I644">
        <v>0</v>
      </c>
      <c r="J644" s="69"/>
      <c r="K644" t="s">
        <v>1571</v>
      </c>
    </row>
    <row r="645" spans="1:11" x14ac:dyDescent="0.25">
      <c r="A645" s="5" t="s">
        <v>1463</v>
      </c>
      <c r="B645" t="s">
        <v>940</v>
      </c>
      <c r="C645">
        <v>2775.17</v>
      </c>
      <c r="D645" t="s">
        <v>913</v>
      </c>
      <c r="E645">
        <v>0</v>
      </c>
      <c r="F645" t="s">
        <v>94</v>
      </c>
      <c r="G645">
        <v>56240273</v>
      </c>
      <c r="H645">
        <v>4200</v>
      </c>
      <c r="I645">
        <v>0</v>
      </c>
      <c r="J645" s="69"/>
      <c r="K645" t="s">
        <v>1571</v>
      </c>
    </row>
    <row r="646" spans="1:11" x14ac:dyDescent="0.25">
      <c r="A646" s="5" t="s">
        <v>1463</v>
      </c>
      <c r="B646" t="s">
        <v>943</v>
      </c>
      <c r="C646">
        <v>16231</v>
      </c>
      <c r="D646" t="s">
        <v>944</v>
      </c>
      <c r="E646">
        <v>0</v>
      </c>
      <c r="F646" t="s">
        <v>945</v>
      </c>
      <c r="G646" t="s">
        <v>1571</v>
      </c>
      <c r="H646">
        <v>20000</v>
      </c>
      <c r="I646">
        <v>0</v>
      </c>
      <c r="J646" s="69"/>
      <c r="K646" t="s">
        <v>1571</v>
      </c>
    </row>
    <row r="647" spans="1:11" x14ac:dyDescent="0.25">
      <c r="A647" s="5" t="s">
        <v>1463</v>
      </c>
      <c r="B647" t="s">
        <v>943</v>
      </c>
      <c r="C647">
        <v>11231</v>
      </c>
      <c r="D647" t="s">
        <v>930</v>
      </c>
      <c r="E647">
        <v>0</v>
      </c>
      <c r="F647" t="s">
        <v>65</v>
      </c>
      <c r="G647" t="s">
        <v>1957</v>
      </c>
      <c r="H647">
        <v>15000</v>
      </c>
      <c r="I647">
        <v>0</v>
      </c>
      <c r="J647" s="69"/>
      <c r="K647" t="s">
        <v>1571</v>
      </c>
    </row>
    <row r="648" spans="1:11" x14ac:dyDescent="0.25">
      <c r="A648" s="5" t="s">
        <v>1463</v>
      </c>
      <c r="B648" t="s">
        <v>943</v>
      </c>
      <c r="C648">
        <v>11231</v>
      </c>
      <c r="D648" t="s">
        <v>931</v>
      </c>
      <c r="E648">
        <v>0</v>
      </c>
      <c r="F648" t="s">
        <v>70</v>
      </c>
      <c r="G648" t="s">
        <v>1959</v>
      </c>
      <c r="H648">
        <v>15000</v>
      </c>
      <c r="I648">
        <v>0</v>
      </c>
      <c r="J648" s="69"/>
      <c r="K648" t="s">
        <v>1571</v>
      </c>
    </row>
    <row r="649" spans="1:11" x14ac:dyDescent="0.25">
      <c r="A649" s="5" t="s">
        <v>1463</v>
      </c>
      <c r="B649" t="s">
        <v>943</v>
      </c>
      <c r="C649">
        <v>6231</v>
      </c>
      <c r="D649" t="s">
        <v>926</v>
      </c>
      <c r="E649">
        <v>0</v>
      </c>
      <c r="F649" t="s">
        <v>927</v>
      </c>
      <c r="G649">
        <v>1316240000037</v>
      </c>
      <c r="H649">
        <v>10000</v>
      </c>
      <c r="I649">
        <v>0</v>
      </c>
      <c r="J649" s="69"/>
      <c r="K649" t="s">
        <v>1571</v>
      </c>
    </row>
    <row r="650" spans="1:11" x14ac:dyDescent="0.25">
      <c r="A650" s="5" t="s">
        <v>1463</v>
      </c>
      <c r="B650" t="s">
        <v>943</v>
      </c>
      <c r="C650">
        <v>6231</v>
      </c>
      <c r="D650" t="s">
        <v>928</v>
      </c>
      <c r="E650">
        <v>0</v>
      </c>
      <c r="F650" t="s">
        <v>929</v>
      </c>
      <c r="G650">
        <v>1316201623251</v>
      </c>
      <c r="H650">
        <v>10000</v>
      </c>
      <c r="I650">
        <v>0</v>
      </c>
      <c r="J650" s="69"/>
      <c r="K650" t="s">
        <v>1571</v>
      </c>
    </row>
    <row r="651" spans="1:11" x14ac:dyDescent="0.25">
      <c r="A651" s="5" t="s">
        <v>1463</v>
      </c>
      <c r="B651" t="s">
        <v>946</v>
      </c>
      <c r="C651">
        <v>8871.5</v>
      </c>
      <c r="D651" t="s">
        <v>947</v>
      </c>
      <c r="E651">
        <v>0</v>
      </c>
      <c r="F651" t="s">
        <v>68</v>
      </c>
      <c r="G651" t="s">
        <v>1935</v>
      </c>
      <c r="H651">
        <v>15000</v>
      </c>
      <c r="I651">
        <v>0</v>
      </c>
      <c r="J651" s="69"/>
      <c r="K651" t="s">
        <v>1571</v>
      </c>
    </row>
    <row r="652" spans="1:11" x14ac:dyDescent="0.25">
      <c r="A652" s="5" t="s">
        <v>1463</v>
      </c>
      <c r="B652" t="s">
        <v>946</v>
      </c>
      <c r="C652">
        <v>16079</v>
      </c>
      <c r="D652" t="s">
        <v>948</v>
      </c>
      <c r="E652">
        <v>0</v>
      </c>
      <c r="F652" t="s">
        <v>949</v>
      </c>
      <c r="G652" t="s">
        <v>1571</v>
      </c>
      <c r="H652">
        <v>20000</v>
      </c>
      <c r="I652">
        <v>0</v>
      </c>
      <c r="J652" s="69"/>
      <c r="K652" t="s">
        <v>1571</v>
      </c>
    </row>
    <row r="653" spans="1:11" x14ac:dyDescent="0.25">
      <c r="A653" s="5" t="s">
        <v>1463</v>
      </c>
      <c r="B653" t="s">
        <v>950</v>
      </c>
      <c r="C653">
        <v>16149.5</v>
      </c>
      <c r="D653" t="s">
        <v>951</v>
      </c>
      <c r="E653">
        <v>0</v>
      </c>
      <c r="F653" t="s">
        <v>952</v>
      </c>
      <c r="G653" t="s">
        <v>1571</v>
      </c>
      <c r="H653">
        <v>20000</v>
      </c>
      <c r="I653">
        <v>0</v>
      </c>
      <c r="J653" s="69"/>
      <c r="K653" t="s">
        <v>1571</v>
      </c>
    </row>
    <row r="654" spans="1:11" x14ac:dyDescent="0.25">
      <c r="A654" s="5" t="s">
        <v>1463</v>
      </c>
      <c r="B654" t="s">
        <v>950</v>
      </c>
      <c r="C654">
        <v>11148.5</v>
      </c>
      <c r="D654" t="s">
        <v>947</v>
      </c>
      <c r="E654">
        <v>0</v>
      </c>
      <c r="F654" t="s">
        <v>68</v>
      </c>
      <c r="G654" t="s">
        <v>1958</v>
      </c>
      <c r="H654">
        <v>15000</v>
      </c>
      <c r="I654">
        <v>0</v>
      </c>
      <c r="J654" s="69"/>
      <c r="K654" t="s">
        <v>1571</v>
      </c>
    </row>
    <row r="655" spans="1:11" x14ac:dyDescent="0.25">
      <c r="A655" s="5" t="s">
        <v>1463</v>
      </c>
      <c r="B655" t="s">
        <v>953</v>
      </c>
      <c r="C655">
        <v>19169</v>
      </c>
      <c r="D655" t="s">
        <v>956</v>
      </c>
      <c r="E655">
        <v>0</v>
      </c>
      <c r="F655" t="s">
        <v>957</v>
      </c>
      <c r="G655" t="s">
        <v>1571</v>
      </c>
      <c r="H655">
        <v>20000</v>
      </c>
      <c r="I655">
        <v>0</v>
      </c>
      <c r="J655" s="69"/>
      <c r="K655" t="s">
        <v>1571</v>
      </c>
    </row>
    <row r="656" spans="1:11" x14ac:dyDescent="0.25">
      <c r="A656" s="5" t="s">
        <v>1463</v>
      </c>
      <c r="B656" t="s">
        <v>953</v>
      </c>
      <c r="C656">
        <v>9169</v>
      </c>
      <c r="D656" t="s">
        <v>954</v>
      </c>
      <c r="E656">
        <v>0</v>
      </c>
      <c r="F656" t="s">
        <v>955</v>
      </c>
      <c r="G656" t="s">
        <v>1952</v>
      </c>
      <c r="H656">
        <v>10000</v>
      </c>
      <c r="I656">
        <v>0</v>
      </c>
      <c r="J656" s="69"/>
      <c r="K656" t="s">
        <v>1571</v>
      </c>
    </row>
    <row r="657" spans="1:11" x14ac:dyDescent="0.25">
      <c r="A657" s="5" t="s">
        <v>1463</v>
      </c>
      <c r="B657" t="s">
        <v>953</v>
      </c>
      <c r="C657">
        <v>9325.6</v>
      </c>
      <c r="D657" t="s">
        <v>954</v>
      </c>
      <c r="E657">
        <v>0</v>
      </c>
      <c r="F657" t="s">
        <v>955</v>
      </c>
      <c r="G657" t="s">
        <v>1943</v>
      </c>
      <c r="H657">
        <v>10000</v>
      </c>
      <c r="I657">
        <v>0</v>
      </c>
      <c r="J657" s="69"/>
      <c r="K657" t="s">
        <v>1571</v>
      </c>
    </row>
    <row r="658" spans="1:11" x14ac:dyDescent="0.25">
      <c r="A658" s="5" t="s">
        <v>1463</v>
      </c>
      <c r="B658" t="s">
        <v>958</v>
      </c>
      <c r="C658">
        <v>93573</v>
      </c>
      <c r="D658" t="s">
        <v>959</v>
      </c>
      <c r="E658">
        <v>0</v>
      </c>
      <c r="F658" t="s">
        <v>960</v>
      </c>
      <c r="G658" t="s">
        <v>1571</v>
      </c>
      <c r="H658">
        <v>100000</v>
      </c>
      <c r="I658">
        <v>0</v>
      </c>
      <c r="J658" s="69"/>
      <c r="K658" t="s">
        <v>1571</v>
      </c>
    </row>
    <row r="659" spans="1:11" x14ac:dyDescent="0.25">
      <c r="A659" s="5" t="s">
        <v>1463</v>
      </c>
      <c r="B659" t="s">
        <v>961</v>
      </c>
      <c r="C659">
        <v>99608</v>
      </c>
      <c r="D659" t="s">
        <v>962</v>
      </c>
      <c r="E659">
        <v>0</v>
      </c>
      <c r="F659" t="s">
        <v>963</v>
      </c>
      <c r="G659" t="s">
        <v>1571</v>
      </c>
      <c r="H659">
        <v>100000</v>
      </c>
      <c r="I659">
        <v>0</v>
      </c>
      <c r="J659" s="69"/>
      <c r="K659" t="s">
        <v>1571</v>
      </c>
    </row>
    <row r="660" spans="1:11" x14ac:dyDescent="0.25">
      <c r="A660" s="5" t="s">
        <v>1463</v>
      </c>
      <c r="B660" t="s">
        <v>964</v>
      </c>
      <c r="C660">
        <v>99716</v>
      </c>
      <c r="D660" t="s">
        <v>965</v>
      </c>
      <c r="E660">
        <v>0</v>
      </c>
      <c r="F660" t="s">
        <v>966</v>
      </c>
      <c r="G660" t="s">
        <v>1571</v>
      </c>
      <c r="H660">
        <v>100000</v>
      </c>
      <c r="I660">
        <v>0</v>
      </c>
      <c r="J660" s="69"/>
      <c r="K660" t="s">
        <v>1571</v>
      </c>
    </row>
    <row r="661" spans="1:11" x14ac:dyDescent="0.25">
      <c r="A661" s="5" t="s">
        <v>1463</v>
      </c>
      <c r="B661" t="s">
        <v>967</v>
      </c>
      <c r="C661">
        <v>99975</v>
      </c>
      <c r="D661" t="s">
        <v>968</v>
      </c>
      <c r="E661">
        <v>0</v>
      </c>
      <c r="F661" t="s">
        <v>969</v>
      </c>
      <c r="G661" t="s">
        <v>1571</v>
      </c>
      <c r="H661">
        <v>100000</v>
      </c>
      <c r="I661">
        <v>0</v>
      </c>
      <c r="J661" s="69"/>
      <c r="K661" t="s">
        <v>1571</v>
      </c>
    </row>
    <row r="662" spans="1:11" x14ac:dyDescent="0.25">
      <c r="A662" s="5" t="s">
        <v>1463</v>
      </c>
      <c r="B662" t="s">
        <v>970</v>
      </c>
      <c r="C662">
        <v>99988.21</v>
      </c>
      <c r="D662" t="s">
        <v>971</v>
      </c>
      <c r="E662">
        <v>0</v>
      </c>
      <c r="F662" t="s">
        <v>972</v>
      </c>
      <c r="G662" t="s">
        <v>1571</v>
      </c>
      <c r="H662">
        <v>99999</v>
      </c>
      <c r="I662">
        <v>0</v>
      </c>
      <c r="J662" s="69"/>
      <c r="K662" t="s">
        <v>1571</v>
      </c>
    </row>
    <row r="663" spans="1:11" x14ac:dyDescent="0.25">
      <c r="A663" s="5" t="s">
        <v>1463</v>
      </c>
      <c r="B663" t="s">
        <v>973</v>
      </c>
      <c r="C663">
        <v>2000</v>
      </c>
      <c r="D663" t="s">
        <v>974</v>
      </c>
      <c r="E663">
        <v>0</v>
      </c>
      <c r="F663" t="s">
        <v>975</v>
      </c>
      <c r="G663" t="s">
        <v>1571</v>
      </c>
      <c r="H663">
        <v>2000</v>
      </c>
      <c r="I663">
        <v>0</v>
      </c>
      <c r="J663" s="69"/>
      <c r="K663" t="s">
        <v>1571</v>
      </c>
    </row>
    <row r="664" spans="1:11" x14ac:dyDescent="0.25">
      <c r="A664" s="5" t="s">
        <v>1463</v>
      </c>
      <c r="B664" t="s">
        <v>976</v>
      </c>
      <c r="C664">
        <v>9981</v>
      </c>
      <c r="D664" t="s">
        <v>982</v>
      </c>
      <c r="E664">
        <v>0</v>
      </c>
      <c r="F664" t="s">
        <v>673</v>
      </c>
      <c r="G664" t="s">
        <v>1976</v>
      </c>
      <c r="H664">
        <v>12000</v>
      </c>
      <c r="I664">
        <v>0</v>
      </c>
      <c r="J664" s="69"/>
      <c r="K664" t="s">
        <v>1571</v>
      </c>
    </row>
    <row r="665" spans="1:11" x14ac:dyDescent="0.25">
      <c r="A665" s="5" t="s">
        <v>1463</v>
      </c>
      <c r="B665" t="s">
        <v>976</v>
      </c>
      <c r="C665">
        <v>9280</v>
      </c>
      <c r="D665" t="s">
        <v>980</v>
      </c>
      <c r="E665">
        <v>0</v>
      </c>
      <c r="F665" t="s">
        <v>981</v>
      </c>
      <c r="G665" t="s">
        <v>2171</v>
      </c>
      <c r="H665">
        <v>12000</v>
      </c>
      <c r="I665">
        <v>0</v>
      </c>
      <c r="J665" s="69"/>
      <c r="K665" t="s">
        <v>1571</v>
      </c>
    </row>
    <row r="666" spans="1:11" x14ac:dyDescent="0.25">
      <c r="A666" s="5" t="s">
        <v>1463</v>
      </c>
      <c r="B666" t="s">
        <v>976</v>
      </c>
      <c r="C666">
        <v>56487</v>
      </c>
      <c r="D666" t="s">
        <v>985</v>
      </c>
      <c r="E666">
        <v>0</v>
      </c>
      <c r="F666" t="s">
        <v>986</v>
      </c>
      <c r="G666" t="s">
        <v>1571</v>
      </c>
      <c r="H666">
        <v>60000</v>
      </c>
      <c r="I666">
        <v>0</v>
      </c>
      <c r="J666" s="69"/>
      <c r="K666" t="s">
        <v>1571</v>
      </c>
    </row>
    <row r="667" spans="1:11" x14ac:dyDescent="0.25">
      <c r="A667" s="5" t="s">
        <v>1463</v>
      </c>
      <c r="B667" t="s">
        <v>976</v>
      </c>
      <c r="C667">
        <v>17957</v>
      </c>
      <c r="D667" t="s">
        <v>983</v>
      </c>
      <c r="E667">
        <v>0</v>
      </c>
      <c r="F667" t="s">
        <v>603</v>
      </c>
      <c r="G667" t="s">
        <v>1994</v>
      </c>
      <c r="H667">
        <v>21470</v>
      </c>
      <c r="I667">
        <v>0</v>
      </c>
      <c r="J667" s="69"/>
      <c r="K667" t="s">
        <v>1571</v>
      </c>
    </row>
    <row r="668" spans="1:11" x14ac:dyDescent="0.25">
      <c r="A668" s="5" t="s">
        <v>1463</v>
      </c>
      <c r="B668" t="s">
        <v>976</v>
      </c>
      <c r="C668">
        <v>687</v>
      </c>
      <c r="D668" t="s">
        <v>977</v>
      </c>
      <c r="E668">
        <v>0</v>
      </c>
      <c r="F668" t="s">
        <v>421</v>
      </c>
      <c r="G668" t="s">
        <v>1995</v>
      </c>
      <c r="H668">
        <v>4200</v>
      </c>
      <c r="I668">
        <v>0</v>
      </c>
      <c r="J668" s="69"/>
      <c r="K668" t="s">
        <v>1571</v>
      </c>
    </row>
    <row r="669" spans="1:11" x14ac:dyDescent="0.25">
      <c r="A669" s="5" t="s">
        <v>1463</v>
      </c>
      <c r="B669" t="s">
        <v>976</v>
      </c>
      <c r="C669">
        <v>17957</v>
      </c>
      <c r="D669" t="s">
        <v>983</v>
      </c>
      <c r="E669">
        <v>0</v>
      </c>
      <c r="F669" t="s">
        <v>603</v>
      </c>
      <c r="G669" t="s">
        <v>1996</v>
      </c>
      <c r="H669">
        <v>21470</v>
      </c>
      <c r="I669">
        <v>0</v>
      </c>
      <c r="J669" s="69"/>
      <c r="K669" t="s">
        <v>1571</v>
      </c>
    </row>
    <row r="670" spans="1:11" x14ac:dyDescent="0.25">
      <c r="A670" s="5" t="s">
        <v>1463</v>
      </c>
      <c r="B670" t="s">
        <v>976</v>
      </c>
      <c r="C670">
        <v>687</v>
      </c>
      <c r="D670" t="s">
        <v>977</v>
      </c>
      <c r="E670">
        <v>0</v>
      </c>
      <c r="F670" t="s">
        <v>421</v>
      </c>
      <c r="G670" t="s">
        <v>1997</v>
      </c>
      <c r="H670">
        <v>4200</v>
      </c>
      <c r="I670">
        <v>0</v>
      </c>
      <c r="J670" s="69"/>
      <c r="K670" t="s">
        <v>1571</v>
      </c>
    </row>
    <row r="671" spans="1:11" x14ac:dyDescent="0.25">
      <c r="A671" s="5" t="s">
        <v>1463</v>
      </c>
      <c r="B671" t="s">
        <v>976</v>
      </c>
      <c r="C671">
        <v>55007</v>
      </c>
      <c r="D671" t="s">
        <v>984</v>
      </c>
      <c r="E671">
        <v>0</v>
      </c>
      <c r="F671" t="s">
        <v>833</v>
      </c>
      <c r="G671" t="s">
        <v>1999</v>
      </c>
      <c r="H671">
        <v>58520</v>
      </c>
      <c r="I671">
        <v>0</v>
      </c>
      <c r="J671" s="69"/>
      <c r="K671" t="s">
        <v>1571</v>
      </c>
    </row>
    <row r="672" spans="1:11" x14ac:dyDescent="0.25">
      <c r="A672" s="5" t="s">
        <v>1463</v>
      </c>
      <c r="B672" t="s">
        <v>976</v>
      </c>
      <c r="C672">
        <v>687</v>
      </c>
      <c r="D672" t="s">
        <v>978</v>
      </c>
      <c r="E672">
        <v>0</v>
      </c>
      <c r="F672" t="s">
        <v>423</v>
      </c>
      <c r="G672" t="s">
        <v>2000</v>
      </c>
      <c r="H672">
        <v>4200</v>
      </c>
      <c r="I672">
        <v>0</v>
      </c>
      <c r="J672" s="69"/>
      <c r="K672" t="s">
        <v>1571</v>
      </c>
    </row>
    <row r="673" spans="1:11" x14ac:dyDescent="0.25">
      <c r="A673" s="5" t="s">
        <v>1463</v>
      </c>
      <c r="B673" t="s">
        <v>976</v>
      </c>
      <c r="C673">
        <v>8487</v>
      </c>
      <c r="D673" t="s">
        <v>979</v>
      </c>
      <c r="E673">
        <v>0</v>
      </c>
      <c r="F673" t="s">
        <v>659</v>
      </c>
      <c r="G673" t="s">
        <v>2001</v>
      </c>
      <c r="H673">
        <v>12000</v>
      </c>
      <c r="I673">
        <v>0</v>
      </c>
      <c r="J673" s="69"/>
      <c r="K673" t="s">
        <v>1571</v>
      </c>
    </row>
    <row r="674" spans="1:11" x14ac:dyDescent="0.25">
      <c r="A674" s="5" t="s">
        <v>1463</v>
      </c>
      <c r="B674" t="s">
        <v>976</v>
      </c>
      <c r="C674">
        <v>9514</v>
      </c>
      <c r="D674" t="s">
        <v>979</v>
      </c>
      <c r="E674">
        <v>0</v>
      </c>
      <c r="F674" t="s">
        <v>659</v>
      </c>
      <c r="G674" t="s">
        <v>2033</v>
      </c>
      <c r="H674">
        <v>12000</v>
      </c>
      <c r="I674">
        <v>0</v>
      </c>
      <c r="J674" s="69"/>
      <c r="K674" t="s">
        <v>1571</v>
      </c>
    </row>
    <row r="675" spans="1:11" x14ac:dyDescent="0.25">
      <c r="A675" s="5" t="s">
        <v>1463</v>
      </c>
      <c r="B675" t="s">
        <v>976</v>
      </c>
      <c r="C675">
        <v>9729</v>
      </c>
      <c r="D675" t="s">
        <v>982</v>
      </c>
      <c r="E675">
        <v>0</v>
      </c>
      <c r="F675" t="s">
        <v>673</v>
      </c>
      <c r="G675" t="s">
        <v>2043</v>
      </c>
      <c r="H675">
        <v>12000</v>
      </c>
      <c r="I675">
        <v>0</v>
      </c>
      <c r="J675" s="69"/>
      <c r="K675" t="s">
        <v>1571</v>
      </c>
    </row>
    <row r="676" spans="1:11" x14ac:dyDescent="0.25">
      <c r="A676" s="5" t="s">
        <v>1463</v>
      </c>
      <c r="B676" t="s">
        <v>976</v>
      </c>
      <c r="C676">
        <v>11313</v>
      </c>
      <c r="D676" t="s">
        <v>980</v>
      </c>
      <c r="E676">
        <v>0</v>
      </c>
      <c r="F676" t="s">
        <v>981</v>
      </c>
      <c r="G676" t="s">
        <v>2172</v>
      </c>
      <c r="H676">
        <v>12000</v>
      </c>
      <c r="I676">
        <v>0</v>
      </c>
      <c r="J676" s="69"/>
      <c r="K676" t="s">
        <v>1571</v>
      </c>
    </row>
    <row r="677" spans="1:11" x14ac:dyDescent="0.25">
      <c r="A677" s="5" t="s">
        <v>1463</v>
      </c>
      <c r="B677" t="s">
        <v>987</v>
      </c>
      <c r="C677">
        <v>99985</v>
      </c>
      <c r="D677" t="s">
        <v>988</v>
      </c>
      <c r="E677">
        <v>0</v>
      </c>
      <c r="F677" t="s">
        <v>989</v>
      </c>
      <c r="G677" t="s">
        <v>1571</v>
      </c>
      <c r="H677">
        <v>99999</v>
      </c>
      <c r="I677">
        <v>0</v>
      </c>
      <c r="J677" s="69"/>
      <c r="K677" t="s">
        <v>1571</v>
      </c>
    </row>
    <row r="678" spans="1:11" x14ac:dyDescent="0.25">
      <c r="A678" s="5" t="s">
        <v>1463</v>
      </c>
      <c r="B678" t="s">
        <v>990</v>
      </c>
      <c r="C678">
        <v>988293</v>
      </c>
      <c r="D678" t="s">
        <v>991</v>
      </c>
      <c r="E678">
        <v>0</v>
      </c>
      <c r="F678" t="s">
        <v>992</v>
      </c>
      <c r="G678" t="s">
        <v>1571</v>
      </c>
      <c r="H678">
        <v>1000000</v>
      </c>
      <c r="I678">
        <v>0</v>
      </c>
      <c r="J678" s="69"/>
      <c r="K678" t="s">
        <v>1571</v>
      </c>
    </row>
    <row r="679" spans="1:11" x14ac:dyDescent="0.25">
      <c r="A679" s="5" t="s">
        <v>1463</v>
      </c>
      <c r="B679" t="s">
        <v>993</v>
      </c>
      <c r="C679">
        <v>9383</v>
      </c>
      <c r="D679" t="s">
        <v>994</v>
      </c>
      <c r="E679">
        <v>0</v>
      </c>
      <c r="F679" t="s">
        <v>995</v>
      </c>
      <c r="G679" t="s">
        <v>1571</v>
      </c>
      <c r="H679">
        <v>10000</v>
      </c>
      <c r="I679">
        <v>0</v>
      </c>
      <c r="J679" s="69"/>
      <c r="K679" t="s">
        <v>1571</v>
      </c>
    </row>
    <row r="680" spans="1:11" x14ac:dyDescent="0.25">
      <c r="A680" s="5" t="s">
        <v>1463</v>
      </c>
      <c r="B680" t="s">
        <v>996</v>
      </c>
      <c r="C680">
        <v>19994</v>
      </c>
      <c r="D680" t="s">
        <v>999</v>
      </c>
      <c r="E680">
        <v>0</v>
      </c>
      <c r="F680" t="s">
        <v>998</v>
      </c>
      <c r="G680" t="s">
        <v>1571</v>
      </c>
      <c r="H680">
        <v>20000</v>
      </c>
      <c r="I680">
        <v>0</v>
      </c>
      <c r="J680" s="69"/>
      <c r="K680" t="s">
        <v>1571</v>
      </c>
    </row>
    <row r="681" spans="1:11" x14ac:dyDescent="0.25">
      <c r="A681" s="5" t="s">
        <v>1463</v>
      </c>
      <c r="B681" t="s">
        <v>996</v>
      </c>
      <c r="C681">
        <v>50</v>
      </c>
      <c r="D681" t="s">
        <v>997</v>
      </c>
      <c r="E681">
        <v>0</v>
      </c>
      <c r="F681" t="s">
        <v>998</v>
      </c>
      <c r="G681" t="s">
        <v>2149</v>
      </c>
      <c r="H681">
        <v>50</v>
      </c>
      <c r="I681">
        <v>0</v>
      </c>
      <c r="J681" s="69"/>
      <c r="K681" t="s">
        <v>1571</v>
      </c>
    </row>
    <row r="682" spans="1:11" x14ac:dyDescent="0.25">
      <c r="A682" s="5" t="s">
        <v>1463</v>
      </c>
      <c r="B682" t="s">
        <v>996</v>
      </c>
      <c r="C682">
        <v>50</v>
      </c>
      <c r="D682" t="s">
        <v>997</v>
      </c>
      <c r="E682">
        <v>0</v>
      </c>
      <c r="F682" t="s">
        <v>998</v>
      </c>
      <c r="G682" t="s">
        <v>2150</v>
      </c>
      <c r="H682">
        <v>50</v>
      </c>
      <c r="I682">
        <v>0</v>
      </c>
      <c r="J682" s="69"/>
      <c r="K682" t="s">
        <v>1571</v>
      </c>
    </row>
    <row r="683" spans="1:11" x14ac:dyDescent="0.25">
      <c r="A683" s="5" t="s">
        <v>1463</v>
      </c>
      <c r="B683" t="s">
        <v>996</v>
      </c>
      <c r="C683">
        <v>50</v>
      </c>
      <c r="D683" t="s">
        <v>997</v>
      </c>
      <c r="E683">
        <v>0</v>
      </c>
      <c r="F683" t="s">
        <v>998</v>
      </c>
      <c r="G683" t="s">
        <v>2151</v>
      </c>
      <c r="H683">
        <v>50</v>
      </c>
      <c r="I683">
        <v>0</v>
      </c>
      <c r="J683" s="69"/>
      <c r="K683" t="s">
        <v>1571</v>
      </c>
    </row>
    <row r="684" spans="1:11" x14ac:dyDescent="0.25">
      <c r="A684" s="5" t="s">
        <v>1463</v>
      </c>
      <c r="B684" t="s">
        <v>996</v>
      </c>
      <c r="C684">
        <v>50</v>
      </c>
      <c r="D684" t="s">
        <v>997</v>
      </c>
      <c r="E684">
        <v>0</v>
      </c>
      <c r="F684" t="s">
        <v>998</v>
      </c>
      <c r="G684" t="s">
        <v>2156</v>
      </c>
      <c r="H684">
        <v>50</v>
      </c>
      <c r="I684">
        <v>0</v>
      </c>
      <c r="J684" s="69"/>
      <c r="K684" t="s">
        <v>1571</v>
      </c>
    </row>
    <row r="685" spans="1:11" x14ac:dyDescent="0.25">
      <c r="A685" s="5" t="s">
        <v>1463</v>
      </c>
      <c r="B685" t="s">
        <v>1000</v>
      </c>
      <c r="C685">
        <v>20000</v>
      </c>
      <c r="D685" t="s">
        <v>1003</v>
      </c>
      <c r="E685">
        <v>0</v>
      </c>
      <c r="F685" t="s">
        <v>1002</v>
      </c>
      <c r="G685" t="s">
        <v>1571</v>
      </c>
      <c r="H685">
        <v>20000</v>
      </c>
      <c r="I685">
        <v>0</v>
      </c>
      <c r="J685" s="69"/>
      <c r="K685" t="s">
        <v>1571</v>
      </c>
    </row>
    <row r="686" spans="1:11" x14ac:dyDescent="0.25">
      <c r="A686" s="5" t="s">
        <v>1463</v>
      </c>
      <c r="B686" t="s">
        <v>1000</v>
      </c>
      <c r="C686">
        <v>10</v>
      </c>
      <c r="D686" t="s">
        <v>1001</v>
      </c>
      <c r="E686">
        <v>0</v>
      </c>
      <c r="F686" t="s">
        <v>1002</v>
      </c>
      <c r="G686" t="s">
        <v>2149</v>
      </c>
      <c r="H686">
        <v>10</v>
      </c>
      <c r="I686">
        <v>0</v>
      </c>
      <c r="J686" s="69"/>
      <c r="K686" t="s">
        <v>1571</v>
      </c>
    </row>
    <row r="687" spans="1:11" x14ac:dyDescent="0.25">
      <c r="A687" s="5" t="s">
        <v>1463</v>
      </c>
      <c r="B687" t="s">
        <v>1000</v>
      </c>
      <c r="C687">
        <v>10</v>
      </c>
      <c r="D687" t="s">
        <v>1001</v>
      </c>
      <c r="E687">
        <v>0</v>
      </c>
      <c r="F687" t="s">
        <v>1002</v>
      </c>
      <c r="G687" t="s">
        <v>2150</v>
      </c>
      <c r="H687">
        <v>10</v>
      </c>
      <c r="I687">
        <v>0</v>
      </c>
      <c r="J687" s="69"/>
      <c r="K687" t="s">
        <v>1571</v>
      </c>
    </row>
    <row r="688" spans="1:11" x14ac:dyDescent="0.25">
      <c r="A688" s="5" t="s">
        <v>1463</v>
      </c>
      <c r="B688" t="s">
        <v>1000</v>
      </c>
      <c r="C688">
        <v>10</v>
      </c>
      <c r="D688" t="s">
        <v>1001</v>
      </c>
      <c r="E688">
        <v>0</v>
      </c>
      <c r="F688" t="s">
        <v>1002</v>
      </c>
      <c r="G688" t="s">
        <v>2151</v>
      </c>
      <c r="H688">
        <v>10</v>
      </c>
      <c r="I688">
        <v>0</v>
      </c>
      <c r="J688" s="69"/>
      <c r="K688" t="s">
        <v>1571</v>
      </c>
    </row>
    <row r="689" spans="1:11" x14ac:dyDescent="0.25">
      <c r="A689" s="5" t="s">
        <v>1463</v>
      </c>
      <c r="B689" t="s">
        <v>1000</v>
      </c>
      <c r="C689">
        <v>10</v>
      </c>
      <c r="D689" t="s">
        <v>1001</v>
      </c>
      <c r="E689">
        <v>0</v>
      </c>
      <c r="F689" t="s">
        <v>1002</v>
      </c>
      <c r="G689" t="s">
        <v>2156</v>
      </c>
      <c r="H689">
        <v>10</v>
      </c>
      <c r="I689">
        <v>0</v>
      </c>
      <c r="J689" s="69"/>
      <c r="K689" t="s">
        <v>1571</v>
      </c>
    </row>
    <row r="690" spans="1:11" x14ac:dyDescent="0.25">
      <c r="A690" s="5" t="s">
        <v>1463</v>
      </c>
      <c r="B690" t="s">
        <v>1004</v>
      </c>
      <c r="C690">
        <v>0</v>
      </c>
      <c r="D690" t="s">
        <v>1005</v>
      </c>
      <c r="E690">
        <v>0</v>
      </c>
      <c r="F690" t="s">
        <v>1006</v>
      </c>
      <c r="G690">
        <v>426501019</v>
      </c>
      <c r="H690">
        <v>0</v>
      </c>
      <c r="I690">
        <v>0</v>
      </c>
      <c r="J690" s="69"/>
      <c r="K690" t="s">
        <v>1571</v>
      </c>
    </row>
    <row r="691" spans="1:11" x14ac:dyDescent="0.25">
      <c r="A691" s="5" t="s">
        <v>1463</v>
      </c>
      <c r="B691" t="s">
        <v>1004</v>
      </c>
      <c r="C691">
        <v>0</v>
      </c>
      <c r="D691" t="s">
        <v>2173</v>
      </c>
      <c r="E691">
        <v>0</v>
      </c>
      <c r="F691" t="s">
        <v>2174</v>
      </c>
      <c r="G691">
        <v>2337014</v>
      </c>
      <c r="H691">
        <v>0</v>
      </c>
      <c r="I691">
        <v>0</v>
      </c>
      <c r="J691" s="69"/>
      <c r="K691" t="s">
        <v>1571</v>
      </c>
    </row>
    <row r="692" spans="1:11" x14ac:dyDescent="0.25">
      <c r="A692" s="5" t="s">
        <v>1463</v>
      </c>
      <c r="B692" t="s">
        <v>1004</v>
      </c>
      <c r="C692">
        <v>0</v>
      </c>
      <c r="D692" t="s">
        <v>1007</v>
      </c>
      <c r="E692">
        <v>0</v>
      </c>
      <c r="F692" t="s">
        <v>1008</v>
      </c>
      <c r="G692" t="s">
        <v>1976</v>
      </c>
      <c r="H692">
        <v>0</v>
      </c>
      <c r="I692">
        <v>0</v>
      </c>
      <c r="J692" s="69"/>
      <c r="K692" t="s">
        <v>1571</v>
      </c>
    </row>
    <row r="693" spans="1:11" x14ac:dyDescent="0.25">
      <c r="A693" s="5" t="s">
        <v>1463</v>
      </c>
      <c r="B693" t="s">
        <v>1004</v>
      </c>
      <c r="C693">
        <v>0</v>
      </c>
      <c r="D693" t="s">
        <v>1009</v>
      </c>
      <c r="E693">
        <v>0</v>
      </c>
      <c r="F693" t="s">
        <v>1010</v>
      </c>
      <c r="G693" t="s">
        <v>2171</v>
      </c>
      <c r="H693">
        <v>0</v>
      </c>
      <c r="I693">
        <v>0</v>
      </c>
      <c r="J693" s="69"/>
      <c r="K693" t="s">
        <v>1571</v>
      </c>
    </row>
    <row r="694" spans="1:11" x14ac:dyDescent="0.25">
      <c r="A694" s="5" t="s">
        <v>1463</v>
      </c>
      <c r="B694" t="s">
        <v>1004</v>
      </c>
      <c r="C694">
        <v>0</v>
      </c>
      <c r="D694" t="s">
        <v>1153</v>
      </c>
      <c r="E694">
        <v>0</v>
      </c>
      <c r="F694" t="s">
        <v>1154</v>
      </c>
      <c r="G694">
        <v>2707361</v>
      </c>
      <c r="H694">
        <v>0</v>
      </c>
      <c r="I694">
        <v>0</v>
      </c>
      <c r="J694" s="69"/>
      <c r="K694" t="s">
        <v>1571</v>
      </c>
    </row>
    <row r="695" spans="1:11" x14ac:dyDescent="0.25">
      <c r="A695" s="5" t="s">
        <v>1463</v>
      </c>
      <c r="B695" t="s">
        <v>1004</v>
      </c>
      <c r="C695">
        <v>0</v>
      </c>
      <c r="D695" t="s">
        <v>1011</v>
      </c>
      <c r="E695">
        <v>0</v>
      </c>
      <c r="F695" t="s">
        <v>1012</v>
      </c>
      <c r="G695" t="s">
        <v>1571</v>
      </c>
      <c r="H695">
        <v>0</v>
      </c>
      <c r="I695">
        <v>0</v>
      </c>
      <c r="J695" s="69"/>
      <c r="K695" t="s">
        <v>1571</v>
      </c>
    </row>
    <row r="696" spans="1:11" x14ac:dyDescent="0.25">
      <c r="A696" s="5" t="s">
        <v>1463</v>
      </c>
      <c r="B696" t="s">
        <v>1004</v>
      </c>
      <c r="C696">
        <v>0</v>
      </c>
      <c r="D696" t="s">
        <v>1013</v>
      </c>
      <c r="E696">
        <v>0</v>
      </c>
      <c r="F696" t="s">
        <v>1012</v>
      </c>
      <c r="G696" t="s">
        <v>1571</v>
      </c>
      <c r="H696">
        <v>0</v>
      </c>
      <c r="I696">
        <v>0</v>
      </c>
      <c r="J696" s="69"/>
      <c r="K696" t="s">
        <v>1571</v>
      </c>
    </row>
    <row r="697" spans="1:11" x14ac:dyDescent="0.25">
      <c r="A697" s="5" t="s">
        <v>1463</v>
      </c>
      <c r="B697" t="s">
        <v>1004</v>
      </c>
      <c r="C697">
        <v>0</v>
      </c>
      <c r="D697" t="s">
        <v>1014</v>
      </c>
      <c r="E697">
        <v>0</v>
      </c>
      <c r="F697" t="s">
        <v>1012</v>
      </c>
      <c r="G697" t="s">
        <v>1571</v>
      </c>
      <c r="H697">
        <v>0</v>
      </c>
      <c r="I697">
        <v>0</v>
      </c>
      <c r="J697" s="69"/>
      <c r="K697" t="s">
        <v>1571</v>
      </c>
    </row>
    <row r="698" spans="1:11" x14ac:dyDescent="0.25">
      <c r="A698" s="5" t="s">
        <v>1463</v>
      </c>
      <c r="B698" t="s">
        <v>1004</v>
      </c>
      <c r="C698">
        <v>0</v>
      </c>
      <c r="D698" t="s">
        <v>1015</v>
      </c>
      <c r="E698">
        <v>0</v>
      </c>
      <c r="F698" t="s">
        <v>1012</v>
      </c>
      <c r="G698" t="s">
        <v>1571</v>
      </c>
      <c r="H698">
        <v>0</v>
      </c>
      <c r="I698">
        <v>0</v>
      </c>
      <c r="J698" s="69"/>
      <c r="K698" t="s">
        <v>1571</v>
      </c>
    </row>
    <row r="699" spans="1:11" x14ac:dyDescent="0.25">
      <c r="A699" s="5" t="s">
        <v>1463</v>
      </c>
      <c r="B699" t="s">
        <v>1004</v>
      </c>
      <c r="C699">
        <v>0</v>
      </c>
      <c r="D699" t="s">
        <v>1016</v>
      </c>
      <c r="E699">
        <v>0</v>
      </c>
      <c r="F699" t="s">
        <v>1012</v>
      </c>
      <c r="G699" t="s">
        <v>1571</v>
      </c>
      <c r="H699">
        <v>0</v>
      </c>
      <c r="I699">
        <v>0</v>
      </c>
      <c r="J699" s="69"/>
      <c r="K699" t="s">
        <v>1571</v>
      </c>
    </row>
    <row r="700" spans="1:11" x14ac:dyDescent="0.25">
      <c r="A700" s="5" t="s">
        <v>1463</v>
      </c>
      <c r="B700" t="s">
        <v>1004</v>
      </c>
      <c r="C700">
        <v>0</v>
      </c>
      <c r="D700" t="s">
        <v>1017</v>
      </c>
      <c r="E700">
        <v>0</v>
      </c>
      <c r="F700" t="s">
        <v>1012</v>
      </c>
      <c r="G700" t="s">
        <v>1571</v>
      </c>
      <c r="H700">
        <v>0</v>
      </c>
      <c r="I700">
        <v>0</v>
      </c>
      <c r="J700" s="69"/>
      <c r="K700" t="s">
        <v>1571</v>
      </c>
    </row>
    <row r="701" spans="1:11" x14ac:dyDescent="0.25">
      <c r="A701" s="5" t="s">
        <v>1463</v>
      </c>
      <c r="B701" t="s">
        <v>1004</v>
      </c>
      <c r="C701">
        <v>0</v>
      </c>
      <c r="D701" t="s">
        <v>1018</v>
      </c>
      <c r="E701">
        <v>0</v>
      </c>
      <c r="F701" t="s">
        <v>1019</v>
      </c>
      <c r="G701" t="s">
        <v>1571</v>
      </c>
      <c r="H701">
        <v>0</v>
      </c>
      <c r="I701">
        <v>0</v>
      </c>
      <c r="J701" s="69"/>
      <c r="K701" t="s">
        <v>1571</v>
      </c>
    </row>
    <row r="702" spans="1:11" x14ac:dyDescent="0.25">
      <c r="A702" s="5" t="s">
        <v>1463</v>
      </c>
      <c r="B702" t="s">
        <v>1004</v>
      </c>
      <c r="C702">
        <v>0</v>
      </c>
      <c r="D702" t="s">
        <v>1020</v>
      </c>
      <c r="E702">
        <v>0</v>
      </c>
      <c r="F702" t="s">
        <v>1021</v>
      </c>
      <c r="G702" t="s">
        <v>1571</v>
      </c>
      <c r="H702">
        <v>0</v>
      </c>
      <c r="I702">
        <v>0</v>
      </c>
      <c r="J702" s="69"/>
      <c r="K702" t="s">
        <v>1571</v>
      </c>
    </row>
    <row r="703" spans="1:11" x14ac:dyDescent="0.25">
      <c r="A703" s="5" t="s">
        <v>1463</v>
      </c>
      <c r="B703" t="s">
        <v>1004</v>
      </c>
      <c r="C703">
        <v>0</v>
      </c>
      <c r="D703" t="s">
        <v>1022</v>
      </c>
      <c r="E703">
        <v>0</v>
      </c>
      <c r="F703" t="s">
        <v>1023</v>
      </c>
      <c r="G703" t="s">
        <v>1571</v>
      </c>
      <c r="H703">
        <v>0</v>
      </c>
      <c r="I703">
        <v>0</v>
      </c>
      <c r="J703" s="69"/>
      <c r="K703" t="s">
        <v>1571</v>
      </c>
    </row>
    <row r="704" spans="1:11" x14ac:dyDescent="0.25">
      <c r="A704" s="5" t="s">
        <v>1463</v>
      </c>
      <c r="B704" t="s">
        <v>1004</v>
      </c>
      <c r="C704">
        <v>0</v>
      </c>
      <c r="D704" t="s">
        <v>1024</v>
      </c>
      <c r="E704">
        <v>0</v>
      </c>
      <c r="F704" t="s">
        <v>1025</v>
      </c>
      <c r="G704" t="s">
        <v>1571</v>
      </c>
      <c r="H704">
        <v>0</v>
      </c>
      <c r="I704">
        <v>0</v>
      </c>
      <c r="J704" s="69"/>
      <c r="K704" t="s">
        <v>1571</v>
      </c>
    </row>
    <row r="705" spans="1:11" x14ac:dyDescent="0.25">
      <c r="A705" s="5" t="s">
        <v>1463</v>
      </c>
      <c r="B705" t="s">
        <v>1004</v>
      </c>
      <c r="C705">
        <v>0</v>
      </c>
      <c r="D705" t="s">
        <v>1026</v>
      </c>
      <c r="E705">
        <v>0</v>
      </c>
      <c r="F705" t="s">
        <v>1027</v>
      </c>
      <c r="G705" t="s">
        <v>1571</v>
      </c>
      <c r="H705">
        <v>0</v>
      </c>
      <c r="I705">
        <v>0</v>
      </c>
      <c r="J705" s="69"/>
      <c r="K705" t="s">
        <v>1571</v>
      </c>
    </row>
    <row r="706" spans="1:11" x14ac:dyDescent="0.25">
      <c r="A706" s="5" t="s">
        <v>1463</v>
      </c>
      <c r="B706" t="s">
        <v>1004</v>
      </c>
      <c r="C706">
        <v>0</v>
      </c>
      <c r="D706" t="s">
        <v>1028</v>
      </c>
      <c r="E706">
        <v>0</v>
      </c>
      <c r="F706" t="s">
        <v>1029</v>
      </c>
      <c r="G706" t="s">
        <v>1571</v>
      </c>
      <c r="H706">
        <v>0</v>
      </c>
      <c r="I706">
        <v>0</v>
      </c>
      <c r="J706" s="69"/>
      <c r="K706" t="s">
        <v>1571</v>
      </c>
    </row>
    <row r="707" spans="1:11" x14ac:dyDescent="0.25">
      <c r="A707" s="5" t="s">
        <v>1463</v>
      </c>
      <c r="B707" t="s">
        <v>1004</v>
      </c>
      <c r="C707">
        <v>0</v>
      </c>
      <c r="D707" t="s">
        <v>1030</v>
      </c>
      <c r="E707">
        <v>0</v>
      </c>
      <c r="F707" t="s">
        <v>1031</v>
      </c>
      <c r="G707" t="s">
        <v>1571</v>
      </c>
      <c r="H707">
        <v>0</v>
      </c>
      <c r="I707">
        <v>0</v>
      </c>
      <c r="J707" s="69"/>
      <c r="K707" t="s">
        <v>1571</v>
      </c>
    </row>
    <row r="708" spans="1:11" x14ac:dyDescent="0.25">
      <c r="A708" s="5" t="s">
        <v>1463</v>
      </c>
      <c r="B708" t="s">
        <v>1004</v>
      </c>
      <c r="C708">
        <v>0</v>
      </c>
      <c r="D708" t="s">
        <v>1032</v>
      </c>
      <c r="E708">
        <v>0</v>
      </c>
      <c r="F708" t="s">
        <v>1033</v>
      </c>
      <c r="G708" t="s">
        <v>1571</v>
      </c>
      <c r="H708">
        <v>0</v>
      </c>
      <c r="I708">
        <v>0</v>
      </c>
      <c r="J708" s="69"/>
      <c r="K708" t="s">
        <v>1571</v>
      </c>
    </row>
    <row r="709" spans="1:11" x14ac:dyDescent="0.25">
      <c r="A709" s="5" t="s">
        <v>1463</v>
      </c>
      <c r="B709" t="s">
        <v>1004</v>
      </c>
      <c r="C709">
        <v>0</v>
      </c>
      <c r="D709" t="s">
        <v>1034</v>
      </c>
      <c r="E709">
        <v>0</v>
      </c>
      <c r="F709" t="s">
        <v>1033</v>
      </c>
      <c r="G709" t="s">
        <v>1571</v>
      </c>
      <c r="H709">
        <v>0</v>
      </c>
      <c r="I709">
        <v>0</v>
      </c>
      <c r="J709" s="69"/>
      <c r="K709" t="s">
        <v>1571</v>
      </c>
    </row>
    <row r="710" spans="1:11" x14ac:dyDescent="0.25">
      <c r="A710" s="5" t="s">
        <v>1463</v>
      </c>
      <c r="B710" t="s">
        <v>1004</v>
      </c>
      <c r="C710">
        <v>0</v>
      </c>
      <c r="D710" t="s">
        <v>1035</v>
      </c>
      <c r="E710">
        <v>0</v>
      </c>
      <c r="F710" t="s">
        <v>1033</v>
      </c>
      <c r="G710" t="s">
        <v>1571</v>
      </c>
      <c r="H710">
        <v>0</v>
      </c>
      <c r="I710">
        <v>0</v>
      </c>
      <c r="J710" s="69"/>
      <c r="K710" t="s">
        <v>1571</v>
      </c>
    </row>
    <row r="711" spans="1:11" x14ac:dyDescent="0.25">
      <c r="A711" s="5" t="s">
        <v>1463</v>
      </c>
      <c r="B711" t="s">
        <v>1004</v>
      </c>
      <c r="C711">
        <v>0</v>
      </c>
      <c r="D711" t="s">
        <v>1036</v>
      </c>
      <c r="E711">
        <v>0</v>
      </c>
      <c r="F711" t="s">
        <v>1033</v>
      </c>
      <c r="G711" t="s">
        <v>1571</v>
      </c>
      <c r="H711">
        <v>0</v>
      </c>
      <c r="I711">
        <v>0</v>
      </c>
      <c r="J711" s="69"/>
      <c r="K711" t="s">
        <v>1571</v>
      </c>
    </row>
    <row r="712" spans="1:11" x14ac:dyDescent="0.25">
      <c r="A712" s="5" t="s">
        <v>1463</v>
      </c>
      <c r="B712" t="s">
        <v>1004</v>
      </c>
      <c r="C712">
        <v>0</v>
      </c>
      <c r="D712" t="s">
        <v>1037</v>
      </c>
      <c r="E712">
        <v>0</v>
      </c>
      <c r="F712" t="s">
        <v>1033</v>
      </c>
      <c r="G712" t="s">
        <v>1571</v>
      </c>
      <c r="H712">
        <v>0</v>
      </c>
      <c r="I712">
        <v>0</v>
      </c>
      <c r="J712" s="69"/>
      <c r="K712" t="s">
        <v>1571</v>
      </c>
    </row>
    <row r="713" spans="1:11" x14ac:dyDescent="0.25">
      <c r="A713" s="5" t="s">
        <v>1463</v>
      </c>
      <c r="B713" t="s">
        <v>1004</v>
      </c>
      <c r="C713">
        <v>0</v>
      </c>
      <c r="D713" t="s">
        <v>1038</v>
      </c>
      <c r="E713">
        <v>0</v>
      </c>
      <c r="F713" t="s">
        <v>1033</v>
      </c>
      <c r="G713" t="s">
        <v>1571</v>
      </c>
      <c r="H713">
        <v>0</v>
      </c>
      <c r="I713">
        <v>0</v>
      </c>
      <c r="J713" s="69"/>
      <c r="K713" t="s">
        <v>1571</v>
      </c>
    </row>
    <row r="714" spans="1:11" x14ac:dyDescent="0.25">
      <c r="A714" s="5" t="s">
        <v>1463</v>
      </c>
      <c r="B714" t="s">
        <v>1004</v>
      </c>
      <c r="C714">
        <v>0</v>
      </c>
      <c r="D714" t="s">
        <v>1039</v>
      </c>
      <c r="E714">
        <v>0</v>
      </c>
      <c r="F714" t="s">
        <v>1033</v>
      </c>
      <c r="G714" t="s">
        <v>1571</v>
      </c>
      <c r="H714">
        <v>0</v>
      </c>
      <c r="I714">
        <v>0</v>
      </c>
      <c r="J714" s="69"/>
      <c r="K714" t="s">
        <v>1571</v>
      </c>
    </row>
    <row r="715" spans="1:11" x14ac:dyDescent="0.25">
      <c r="A715" s="5" t="s">
        <v>1463</v>
      </c>
      <c r="B715" t="s">
        <v>1004</v>
      </c>
      <c r="C715">
        <v>0</v>
      </c>
      <c r="D715" t="s">
        <v>1040</v>
      </c>
      <c r="E715">
        <v>0</v>
      </c>
      <c r="F715" t="s">
        <v>1033</v>
      </c>
      <c r="G715" t="s">
        <v>1571</v>
      </c>
      <c r="H715">
        <v>0</v>
      </c>
      <c r="I715">
        <v>0</v>
      </c>
      <c r="J715" s="69"/>
      <c r="K715" t="s">
        <v>1571</v>
      </c>
    </row>
    <row r="716" spans="1:11" x14ac:dyDescent="0.25">
      <c r="A716" s="5" t="s">
        <v>1463</v>
      </c>
      <c r="B716" t="s">
        <v>1004</v>
      </c>
      <c r="C716">
        <v>0</v>
      </c>
      <c r="D716" t="s">
        <v>1041</v>
      </c>
      <c r="E716">
        <v>0</v>
      </c>
      <c r="F716" t="s">
        <v>1033</v>
      </c>
      <c r="G716" t="s">
        <v>1571</v>
      </c>
      <c r="H716">
        <v>0</v>
      </c>
      <c r="I716">
        <v>0</v>
      </c>
      <c r="J716" s="69"/>
      <c r="K716" t="s">
        <v>1571</v>
      </c>
    </row>
    <row r="717" spans="1:11" x14ac:dyDescent="0.25">
      <c r="A717" s="5" t="s">
        <v>1463</v>
      </c>
      <c r="B717" t="s">
        <v>1004</v>
      </c>
      <c r="C717">
        <v>0</v>
      </c>
      <c r="D717" t="s">
        <v>1042</v>
      </c>
      <c r="E717">
        <v>0</v>
      </c>
      <c r="F717" t="s">
        <v>1033</v>
      </c>
      <c r="G717" t="s">
        <v>1571</v>
      </c>
      <c r="H717">
        <v>0</v>
      </c>
      <c r="I717">
        <v>0</v>
      </c>
      <c r="J717" s="69"/>
      <c r="K717" t="s">
        <v>1571</v>
      </c>
    </row>
    <row r="718" spans="1:11" x14ac:dyDescent="0.25">
      <c r="A718" s="5" t="s">
        <v>1463</v>
      </c>
      <c r="B718" t="s">
        <v>1004</v>
      </c>
      <c r="C718">
        <v>0</v>
      </c>
      <c r="D718" t="s">
        <v>1043</v>
      </c>
      <c r="E718">
        <v>0</v>
      </c>
      <c r="F718" t="s">
        <v>1033</v>
      </c>
      <c r="G718" t="s">
        <v>1571</v>
      </c>
      <c r="H718">
        <v>0</v>
      </c>
      <c r="I718">
        <v>0</v>
      </c>
      <c r="J718" s="69"/>
      <c r="K718" t="s">
        <v>1571</v>
      </c>
    </row>
    <row r="719" spans="1:11" x14ac:dyDescent="0.25">
      <c r="A719" s="5" t="s">
        <v>1463</v>
      </c>
      <c r="B719" t="s">
        <v>1004</v>
      </c>
      <c r="C719">
        <v>0</v>
      </c>
      <c r="D719" t="s">
        <v>1044</v>
      </c>
      <c r="E719">
        <v>0</v>
      </c>
      <c r="F719" t="s">
        <v>1033</v>
      </c>
      <c r="G719" t="s">
        <v>1571</v>
      </c>
      <c r="H719">
        <v>0</v>
      </c>
      <c r="I719">
        <v>0</v>
      </c>
      <c r="J719" s="69"/>
      <c r="K719" t="s">
        <v>1571</v>
      </c>
    </row>
    <row r="720" spans="1:11" x14ac:dyDescent="0.25">
      <c r="A720" s="5" t="s">
        <v>1463</v>
      </c>
      <c r="B720" t="s">
        <v>1004</v>
      </c>
      <c r="C720">
        <v>0</v>
      </c>
      <c r="D720" t="s">
        <v>1045</v>
      </c>
      <c r="E720">
        <v>0</v>
      </c>
      <c r="F720" t="s">
        <v>1033</v>
      </c>
      <c r="G720" t="s">
        <v>1571</v>
      </c>
      <c r="H720">
        <v>0</v>
      </c>
      <c r="I720">
        <v>0</v>
      </c>
      <c r="J720" s="69"/>
      <c r="K720" t="s">
        <v>1571</v>
      </c>
    </row>
    <row r="721" spans="1:11" x14ac:dyDescent="0.25">
      <c r="A721" s="5" t="s">
        <v>1463</v>
      </c>
      <c r="B721" t="s">
        <v>1004</v>
      </c>
      <c r="C721">
        <v>0</v>
      </c>
      <c r="D721" t="s">
        <v>1046</v>
      </c>
      <c r="E721">
        <v>0</v>
      </c>
      <c r="F721" t="s">
        <v>1033</v>
      </c>
      <c r="G721" t="s">
        <v>1571</v>
      </c>
      <c r="H721">
        <v>0</v>
      </c>
      <c r="I721">
        <v>0</v>
      </c>
      <c r="J721" s="69"/>
      <c r="K721" t="s">
        <v>1571</v>
      </c>
    </row>
    <row r="722" spans="1:11" x14ac:dyDescent="0.25">
      <c r="A722" s="5" t="s">
        <v>1463</v>
      </c>
      <c r="B722" t="s">
        <v>1004</v>
      </c>
      <c r="C722">
        <v>0</v>
      </c>
      <c r="D722" t="s">
        <v>1047</v>
      </c>
      <c r="E722">
        <v>0</v>
      </c>
      <c r="F722" t="s">
        <v>1033</v>
      </c>
      <c r="G722" t="s">
        <v>1571</v>
      </c>
      <c r="H722">
        <v>0</v>
      </c>
      <c r="I722">
        <v>0</v>
      </c>
      <c r="J722" s="69"/>
      <c r="K722" t="s">
        <v>1571</v>
      </c>
    </row>
    <row r="723" spans="1:11" x14ac:dyDescent="0.25">
      <c r="A723" s="5" t="s">
        <v>1463</v>
      </c>
      <c r="B723" t="s">
        <v>1004</v>
      </c>
      <c r="C723">
        <v>0</v>
      </c>
      <c r="D723" t="s">
        <v>1048</v>
      </c>
      <c r="E723">
        <v>0</v>
      </c>
      <c r="F723" t="s">
        <v>1033</v>
      </c>
      <c r="G723" t="s">
        <v>1571</v>
      </c>
      <c r="H723">
        <v>0</v>
      </c>
      <c r="I723">
        <v>0</v>
      </c>
      <c r="J723" s="69"/>
      <c r="K723" t="s">
        <v>1571</v>
      </c>
    </row>
    <row r="724" spans="1:11" x14ac:dyDescent="0.25">
      <c r="A724" s="5" t="s">
        <v>1463</v>
      </c>
      <c r="B724" t="s">
        <v>1004</v>
      </c>
      <c r="C724">
        <v>0</v>
      </c>
      <c r="D724" t="s">
        <v>1049</v>
      </c>
      <c r="E724">
        <v>0</v>
      </c>
      <c r="F724" t="s">
        <v>1033</v>
      </c>
      <c r="G724" t="s">
        <v>1571</v>
      </c>
      <c r="H724">
        <v>0</v>
      </c>
      <c r="I724">
        <v>0</v>
      </c>
      <c r="J724" s="69"/>
      <c r="K724" t="s">
        <v>1571</v>
      </c>
    </row>
    <row r="725" spans="1:11" x14ac:dyDescent="0.25">
      <c r="A725" s="5" t="s">
        <v>1463</v>
      </c>
      <c r="B725" t="s">
        <v>1004</v>
      </c>
      <c r="C725">
        <v>0</v>
      </c>
      <c r="D725" t="s">
        <v>1050</v>
      </c>
      <c r="E725">
        <v>0</v>
      </c>
      <c r="F725" t="s">
        <v>1033</v>
      </c>
      <c r="G725" t="s">
        <v>1571</v>
      </c>
      <c r="H725">
        <v>0</v>
      </c>
      <c r="I725">
        <v>0</v>
      </c>
      <c r="J725" s="69"/>
      <c r="K725" t="s">
        <v>1571</v>
      </c>
    </row>
    <row r="726" spans="1:11" x14ac:dyDescent="0.25">
      <c r="A726" s="5" t="s">
        <v>1463</v>
      </c>
      <c r="B726" t="s">
        <v>1004</v>
      </c>
      <c r="C726">
        <v>0</v>
      </c>
      <c r="D726" t="s">
        <v>1051</v>
      </c>
      <c r="E726">
        <v>0</v>
      </c>
      <c r="F726" t="s">
        <v>1033</v>
      </c>
      <c r="G726" t="s">
        <v>1571</v>
      </c>
      <c r="H726">
        <v>0</v>
      </c>
      <c r="I726">
        <v>0</v>
      </c>
      <c r="J726" s="69"/>
      <c r="K726" t="s">
        <v>1571</v>
      </c>
    </row>
    <row r="727" spans="1:11" x14ac:dyDescent="0.25">
      <c r="A727" s="5" t="s">
        <v>1463</v>
      </c>
      <c r="B727" t="s">
        <v>1004</v>
      </c>
      <c r="C727">
        <v>0</v>
      </c>
      <c r="D727" t="s">
        <v>1052</v>
      </c>
      <c r="E727">
        <v>0</v>
      </c>
      <c r="F727" t="s">
        <v>1033</v>
      </c>
      <c r="G727" t="s">
        <v>1571</v>
      </c>
      <c r="H727">
        <v>0</v>
      </c>
      <c r="I727">
        <v>0</v>
      </c>
      <c r="J727" s="69"/>
      <c r="K727" t="s">
        <v>1571</v>
      </c>
    </row>
    <row r="728" spans="1:11" x14ac:dyDescent="0.25">
      <c r="A728" s="5" t="s">
        <v>1463</v>
      </c>
      <c r="B728" t="s">
        <v>1004</v>
      </c>
      <c r="C728">
        <v>0</v>
      </c>
      <c r="D728" t="s">
        <v>1053</v>
      </c>
      <c r="E728">
        <v>0</v>
      </c>
      <c r="F728" t="s">
        <v>1033</v>
      </c>
      <c r="G728" t="s">
        <v>1571</v>
      </c>
      <c r="H728">
        <v>0</v>
      </c>
      <c r="I728">
        <v>0</v>
      </c>
      <c r="J728" s="69"/>
      <c r="K728" t="s">
        <v>1571</v>
      </c>
    </row>
    <row r="729" spans="1:11" x14ac:dyDescent="0.25">
      <c r="A729" s="5" t="s">
        <v>1463</v>
      </c>
      <c r="B729" t="s">
        <v>1004</v>
      </c>
      <c r="C729">
        <v>0</v>
      </c>
      <c r="D729" t="s">
        <v>1054</v>
      </c>
      <c r="E729">
        <v>0</v>
      </c>
      <c r="F729" t="s">
        <v>1033</v>
      </c>
      <c r="G729" t="s">
        <v>1571</v>
      </c>
      <c r="H729">
        <v>0</v>
      </c>
      <c r="I729">
        <v>0</v>
      </c>
      <c r="J729" s="69"/>
      <c r="K729" t="s">
        <v>1571</v>
      </c>
    </row>
    <row r="730" spans="1:11" x14ac:dyDescent="0.25">
      <c r="A730" s="5" t="s">
        <v>1463</v>
      </c>
      <c r="B730" t="s">
        <v>1004</v>
      </c>
      <c r="C730">
        <v>0</v>
      </c>
      <c r="D730" t="s">
        <v>1055</v>
      </c>
      <c r="E730">
        <v>0</v>
      </c>
      <c r="F730" t="s">
        <v>1033</v>
      </c>
      <c r="G730" t="s">
        <v>1571</v>
      </c>
      <c r="H730">
        <v>0</v>
      </c>
      <c r="I730">
        <v>0</v>
      </c>
      <c r="J730" s="69"/>
      <c r="K730" t="s">
        <v>1571</v>
      </c>
    </row>
    <row r="731" spans="1:11" x14ac:dyDescent="0.25">
      <c r="A731" s="5" t="s">
        <v>1463</v>
      </c>
      <c r="B731" t="s">
        <v>1004</v>
      </c>
      <c r="C731">
        <v>0</v>
      </c>
      <c r="D731" t="s">
        <v>1056</v>
      </c>
      <c r="E731">
        <v>0</v>
      </c>
      <c r="F731" t="s">
        <v>1033</v>
      </c>
      <c r="G731" t="s">
        <v>1571</v>
      </c>
      <c r="H731">
        <v>0</v>
      </c>
      <c r="I731">
        <v>0</v>
      </c>
      <c r="J731" s="69"/>
      <c r="K731" t="s">
        <v>1571</v>
      </c>
    </row>
    <row r="732" spans="1:11" x14ac:dyDescent="0.25">
      <c r="A732" s="5" t="s">
        <v>1463</v>
      </c>
      <c r="B732" t="s">
        <v>1004</v>
      </c>
      <c r="C732">
        <v>0</v>
      </c>
      <c r="D732" t="s">
        <v>1057</v>
      </c>
      <c r="E732">
        <v>0</v>
      </c>
      <c r="F732" t="s">
        <v>1033</v>
      </c>
      <c r="G732" t="s">
        <v>1571</v>
      </c>
      <c r="H732">
        <v>0</v>
      </c>
      <c r="I732">
        <v>0</v>
      </c>
      <c r="J732" s="69"/>
      <c r="K732" t="s">
        <v>1571</v>
      </c>
    </row>
    <row r="733" spans="1:11" x14ac:dyDescent="0.25">
      <c r="A733" s="5" t="s">
        <v>1463</v>
      </c>
      <c r="B733" t="s">
        <v>1004</v>
      </c>
      <c r="C733">
        <v>0</v>
      </c>
      <c r="D733" t="s">
        <v>1058</v>
      </c>
      <c r="E733">
        <v>0</v>
      </c>
      <c r="F733" t="s">
        <v>1033</v>
      </c>
      <c r="G733" t="s">
        <v>1571</v>
      </c>
      <c r="H733">
        <v>0</v>
      </c>
      <c r="I733">
        <v>0</v>
      </c>
      <c r="J733" s="69"/>
      <c r="K733" t="s">
        <v>1571</v>
      </c>
    </row>
    <row r="734" spans="1:11" x14ac:dyDescent="0.25">
      <c r="A734" s="5" t="s">
        <v>1463</v>
      </c>
      <c r="B734" t="s">
        <v>1004</v>
      </c>
      <c r="C734">
        <v>0</v>
      </c>
      <c r="D734" t="s">
        <v>1059</v>
      </c>
      <c r="E734">
        <v>0</v>
      </c>
      <c r="F734" t="s">
        <v>1060</v>
      </c>
      <c r="G734" t="s">
        <v>1571</v>
      </c>
      <c r="H734">
        <v>0</v>
      </c>
      <c r="I734">
        <v>0</v>
      </c>
      <c r="J734" s="69"/>
      <c r="K734" t="s">
        <v>1571</v>
      </c>
    </row>
    <row r="735" spans="1:11" x14ac:dyDescent="0.25">
      <c r="A735" s="5" t="s">
        <v>1463</v>
      </c>
      <c r="B735" t="s">
        <v>1004</v>
      </c>
      <c r="C735">
        <v>0</v>
      </c>
      <c r="D735" t="s">
        <v>1061</v>
      </c>
      <c r="E735">
        <v>0</v>
      </c>
      <c r="F735" t="s">
        <v>1062</v>
      </c>
      <c r="G735" t="s">
        <v>1571</v>
      </c>
      <c r="H735">
        <v>0</v>
      </c>
      <c r="I735">
        <v>0</v>
      </c>
      <c r="J735" s="69"/>
      <c r="K735" t="s">
        <v>1571</v>
      </c>
    </row>
    <row r="736" spans="1:11" x14ac:dyDescent="0.25">
      <c r="A736" s="5" t="s">
        <v>1463</v>
      </c>
      <c r="B736" t="s">
        <v>1004</v>
      </c>
      <c r="C736">
        <v>0</v>
      </c>
      <c r="D736" t="s">
        <v>1063</v>
      </c>
      <c r="E736">
        <v>0</v>
      </c>
      <c r="F736" t="s">
        <v>1062</v>
      </c>
      <c r="G736" t="s">
        <v>1571</v>
      </c>
      <c r="H736">
        <v>0</v>
      </c>
      <c r="I736">
        <v>0</v>
      </c>
      <c r="J736" s="69"/>
      <c r="K736" t="s">
        <v>1571</v>
      </c>
    </row>
    <row r="737" spans="1:11" x14ac:dyDescent="0.25">
      <c r="A737" s="5" t="s">
        <v>1463</v>
      </c>
      <c r="B737" t="s">
        <v>1004</v>
      </c>
      <c r="C737">
        <v>0</v>
      </c>
      <c r="D737" t="s">
        <v>1064</v>
      </c>
      <c r="E737">
        <v>0</v>
      </c>
      <c r="F737" t="s">
        <v>1062</v>
      </c>
      <c r="G737" t="s">
        <v>1571</v>
      </c>
      <c r="H737">
        <v>0</v>
      </c>
      <c r="I737">
        <v>0</v>
      </c>
      <c r="J737" s="69"/>
      <c r="K737" t="s">
        <v>1571</v>
      </c>
    </row>
    <row r="738" spans="1:11" x14ac:dyDescent="0.25">
      <c r="A738" s="5" t="s">
        <v>1463</v>
      </c>
      <c r="B738" t="s">
        <v>1004</v>
      </c>
      <c r="C738">
        <v>0</v>
      </c>
      <c r="D738" t="s">
        <v>1065</v>
      </c>
      <c r="E738">
        <v>0</v>
      </c>
      <c r="F738" t="s">
        <v>1062</v>
      </c>
      <c r="G738" t="s">
        <v>1571</v>
      </c>
      <c r="H738">
        <v>0</v>
      </c>
      <c r="I738">
        <v>0</v>
      </c>
      <c r="J738" s="69"/>
      <c r="K738" t="s">
        <v>1571</v>
      </c>
    </row>
    <row r="739" spans="1:11" x14ac:dyDescent="0.25">
      <c r="A739" s="5" t="s">
        <v>1463</v>
      </c>
      <c r="B739" t="s">
        <v>1004</v>
      </c>
      <c r="C739">
        <v>0</v>
      </c>
      <c r="D739" t="s">
        <v>1066</v>
      </c>
      <c r="E739">
        <v>0</v>
      </c>
      <c r="F739" t="s">
        <v>1067</v>
      </c>
      <c r="G739" t="s">
        <v>1571</v>
      </c>
      <c r="H739">
        <v>0</v>
      </c>
      <c r="I739">
        <v>0</v>
      </c>
      <c r="J739" s="69"/>
      <c r="K739" t="s">
        <v>1571</v>
      </c>
    </row>
    <row r="740" spans="1:11" x14ac:dyDescent="0.25">
      <c r="A740" s="5" t="s">
        <v>1463</v>
      </c>
      <c r="B740" t="s">
        <v>1004</v>
      </c>
      <c r="C740">
        <v>0</v>
      </c>
      <c r="D740" t="s">
        <v>1068</v>
      </c>
      <c r="E740">
        <v>0</v>
      </c>
      <c r="F740" t="s">
        <v>1069</v>
      </c>
      <c r="G740" t="s">
        <v>1571</v>
      </c>
      <c r="H740">
        <v>0</v>
      </c>
      <c r="I740">
        <v>0</v>
      </c>
      <c r="J740" s="69"/>
      <c r="K740" t="s">
        <v>1571</v>
      </c>
    </row>
    <row r="741" spans="1:11" x14ac:dyDescent="0.25">
      <c r="A741" s="5" t="s">
        <v>1463</v>
      </c>
      <c r="B741" t="s">
        <v>1004</v>
      </c>
      <c r="C741">
        <v>0</v>
      </c>
      <c r="D741" t="s">
        <v>1070</v>
      </c>
      <c r="E741">
        <v>0</v>
      </c>
      <c r="F741" t="s">
        <v>1069</v>
      </c>
      <c r="G741" t="s">
        <v>1571</v>
      </c>
      <c r="H741">
        <v>0</v>
      </c>
      <c r="I741">
        <v>0</v>
      </c>
      <c r="J741" s="69"/>
      <c r="K741" t="s">
        <v>1571</v>
      </c>
    </row>
    <row r="742" spans="1:11" x14ac:dyDescent="0.25">
      <c r="A742" s="5" t="s">
        <v>1463</v>
      </c>
      <c r="B742" t="s">
        <v>1004</v>
      </c>
      <c r="C742">
        <v>0</v>
      </c>
      <c r="D742" t="s">
        <v>1071</v>
      </c>
      <c r="E742">
        <v>0</v>
      </c>
      <c r="F742" t="s">
        <v>1069</v>
      </c>
      <c r="G742" t="s">
        <v>1571</v>
      </c>
      <c r="H742">
        <v>0</v>
      </c>
      <c r="I742">
        <v>0</v>
      </c>
      <c r="J742" s="69"/>
      <c r="K742" t="s">
        <v>1571</v>
      </c>
    </row>
    <row r="743" spans="1:11" x14ac:dyDescent="0.25">
      <c r="A743" s="5" t="s">
        <v>1463</v>
      </c>
      <c r="B743" t="s">
        <v>1004</v>
      </c>
      <c r="C743">
        <v>0</v>
      </c>
      <c r="D743" t="s">
        <v>1072</v>
      </c>
      <c r="E743">
        <v>0</v>
      </c>
      <c r="F743" t="s">
        <v>1069</v>
      </c>
      <c r="G743" t="s">
        <v>1571</v>
      </c>
      <c r="H743">
        <v>0</v>
      </c>
      <c r="I743">
        <v>0</v>
      </c>
      <c r="J743" s="69"/>
      <c r="K743" t="s">
        <v>1571</v>
      </c>
    </row>
    <row r="744" spans="1:11" x14ac:dyDescent="0.25">
      <c r="A744" s="5" t="s">
        <v>1463</v>
      </c>
      <c r="B744" t="s">
        <v>1004</v>
      </c>
      <c r="C744">
        <v>0</v>
      </c>
      <c r="D744" t="s">
        <v>1073</v>
      </c>
      <c r="E744">
        <v>0</v>
      </c>
      <c r="F744" t="s">
        <v>1074</v>
      </c>
      <c r="G744" t="s">
        <v>1571</v>
      </c>
      <c r="H744">
        <v>0</v>
      </c>
      <c r="I744">
        <v>0</v>
      </c>
      <c r="J744" s="69"/>
      <c r="K744" t="s">
        <v>1571</v>
      </c>
    </row>
    <row r="745" spans="1:11" x14ac:dyDescent="0.25">
      <c r="A745" s="5" t="s">
        <v>1463</v>
      </c>
      <c r="B745" t="s">
        <v>1004</v>
      </c>
      <c r="C745">
        <v>0</v>
      </c>
      <c r="D745" t="s">
        <v>1075</v>
      </c>
      <c r="E745">
        <v>0</v>
      </c>
      <c r="F745" t="s">
        <v>1076</v>
      </c>
      <c r="G745" t="s">
        <v>1571</v>
      </c>
      <c r="H745">
        <v>0</v>
      </c>
      <c r="I745">
        <v>0</v>
      </c>
      <c r="J745" s="69"/>
      <c r="K745" t="s">
        <v>1571</v>
      </c>
    </row>
    <row r="746" spans="1:11" x14ac:dyDescent="0.25">
      <c r="A746" s="5" t="s">
        <v>1463</v>
      </c>
      <c r="B746" t="s">
        <v>1004</v>
      </c>
      <c r="C746">
        <v>0</v>
      </c>
      <c r="D746" t="s">
        <v>1077</v>
      </c>
      <c r="E746">
        <v>0</v>
      </c>
      <c r="F746" t="s">
        <v>1078</v>
      </c>
      <c r="G746" t="s">
        <v>1571</v>
      </c>
      <c r="H746">
        <v>0</v>
      </c>
      <c r="I746">
        <v>0</v>
      </c>
      <c r="J746" s="69"/>
      <c r="K746" t="s">
        <v>1571</v>
      </c>
    </row>
    <row r="747" spans="1:11" x14ac:dyDescent="0.25">
      <c r="A747" s="5" t="s">
        <v>1463</v>
      </c>
      <c r="B747" t="s">
        <v>1004</v>
      </c>
      <c r="C747">
        <v>0</v>
      </c>
      <c r="D747" t="s">
        <v>1079</v>
      </c>
      <c r="E747">
        <v>0</v>
      </c>
      <c r="F747" t="s">
        <v>1080</v>
      </c>
      <c r="G747" t="s">
        <v>1571</v>
      </c>
      <c r="H747">
        <v>0</v>
      </c>
      <c r="I747">
        <v>0</v>
      </c>
      <c r="J747" s="69"/>
      <c r="K747" t="s">
        <v>1571</v>
      </c>
    </row>
    <row r="748" spans="1:11" x14ac:dyDescent="0.25">
      <c r="A748" s="5" t="s">
        <v>1463</v>
      </c>
      <c r="B748" t="s">
        <v>1004</v>
      </c>
      <c r="C748">
        <v>0</v>
      </c>
      <c r="D748" t="s">
        <v>1081</v>
      </c>
      <c r="E748">
        <v>0</v>
      </c>
      <c r="F748" t="s">
        <v>1082</v>
      </c>
      <c r="G748" t="s">
        <v>1571</v>
      </c>
      <c r="H748">
        <v>0</v>
      </c>
      <c r="I748">
        <v>0</v>
      </c>
      <c r="J748" s="69"/>
      <c r="K748" t="s">
        <v>1571</v>
      </c>
    </row>
    <row r="749" spans="1:11" x14ac:dyDescent="0.25">
      <c r="A749" s="5" t="s">
        <v>1463</v>
      </c>
      <c r="B749" t="s">
        <v>1004</v>
      </c>
      <c r="C749">
        <v>0</v>
      </c>
      <c r="D749" t="s">
        <v>1083</v>
      </c>
      <c r="E749">
        <v>0</v>
      </c>
      <c r="F749" t="s">
        <v>1084</v>
      </c>
      <c r="G749" t="s">
        <v>1571</v>
      </c>
      <c r="H749">
        <v>0</v>
      </c>
      <c r="I749">
        <v>0</v>
      </c>
      <c r="J749" s="69"/>
      <c r="K749" t="s">
        <v>1571</v>
      </c>
    </row>
    <row r="750" spans="1:11" x14ac:dyDescent="0.25">
      <c r="A750" s="5" t="s">
        <v>1463</v>
      </c>
      <c r="B750" t="s">
        <v>1004</v>
      </c>
      <c r="C750">
        <v>0</v>
      </c>
      <c r="D750" t="s">
        <v>1085</v>
      </c>
      <c r="E750">
        <v>0</v>
      </c>
      <c r="F750" t="s">
        <v>1086</v>
      </c>
      <c r="G750" t="s">
        <v>1571</v>
      </c>
      <c r="H750">
        <v>0</v>
      </c>
      <c r="I750">
        <v>0</v>
      </c>
      <c r="J750" s="69"/>
      <c r="K750" t="s">
        <v>1571</v>
      </c>
    </row>
    <row r="751" spans="1:11" x14ac:dyDescent="0.25">
      <c r="A751" s="5" t="s">
        <v>1463</v>
      </c>
      <c r="B751" t="s">
        <v>1004</v>
      </c>
      <c r="C751">
        <v>0</v>
      </c>
      <c r="D751" t="s">
        <v>1087</v>
      </c>
      <c r="E751">
        <v>0</v>
      </c>
      <c r="F751" t="s">
        <v>1088</v>
      </c>
      <c r="G751" t="s">
        <v>1571</v>
      </c>
      <c r="H751">
        <v>0</v>
      </c>
      <c r="I751">
        <v>0</v>
      </c>
      <c r="J751" s="69"/>
      <c r="K751" t="s">
        <v>1571</v>
      </c>
    </row>
    <row r="752" spans="1:11" x14ac:dyDescent="0.25">
      <c r="A752" s="5" t="s">
        <v>1463</v>
      </c>
      <c r="B752" t="s">
        <v>1004</v>
      </c>
      <c r="C752">
        <v>0</v>
      </c>
      <c r="D752" t="s">
        <v>1089</v>
      </c>
      <c r="E752">
        <v>0</v>
      </c>
      <c r="F752" t="s">
        <v>1090</v>
      </c>
      <c r="G752" t="s">
        <v>1571</v>
      </c>
      <c r="H752">
        <v>0</v>
      </c>
      <c r="I752">
        <v>0</v>
      </c>
      <c r="J752" s="69"/>
      <c r="K752" t="s">
        <v>1571</v>
      </c>
    </row>
    <row r="753" spans="1:11" x14ac:dyDescent="0.25">
      <c r="A753" s="5" t="s">
        <v>1463</v>
      </c>
      <c r="B753" t="s">
        <v>1004</v>
      </c>
      <c r="C753">
        <v>0</v>
      </c>
      <c r="D753" t="s">
        <v>1091</v>
      </c>
      <c r="E753">
        <v>0</v>
      </c>
      <c r="F753" t="s">
        <v>1092</v>
      </c>
      <c r="G753" t="s">
        <v>1571</v>
      </c>
      <c r="H753">
        <v>0</v>
      </c>
      <c r="I753">
        <v>0</v>
      </c>
      <c r="J753" s="69"/>
      <c r="K753" t="s">
        <v>1571</v>
      </c>
    </row>
    <row r="754" spans="1:11" x14ac:dyDescent="0.25">
      <c r="A754" s="5" t="s">
        <v>1463</v>
      </c>
      <c r="B754" t="s">
        <v>1004</v>
      </c>
      <c r="C754">
        <v>0</v>
      </c>
      <c r="D754" t="s">
        <v>1093</v>
      </c>
      <c r="E754">
        <v>0</v>
      </c>
      <c r="F754" t="s">
        <v>1094</v>
      </c>
      <c r="G754" t="s">
        <v>1571</v>
      </c>
      <c r="H754">
        <v>0</v>
      </c>
      <c r="I754">
        <v>0</v>
      </c>
      <c r="J754" s="69"/>
      <c r="K754" t="s">
        <v>1571</v>
      </c>
    </row>
    <row r="755" spans="1:11" x14ac:dyDescent="0.25">
      <c r="A755" s="5" t="s">
        <v>1463</v>
      </c>
      <c r="B755" t="s">
        <v>1004</v>
      </c>
      <c r="C755">
        <v>0</v>
      </c>
      <c r="D755" t="s">
        <v>1095</v>
      </c>
      <c r="E755">
        <v>0</v>
      </c>
      <c r="F755" t="s">
        <v>1096</v>
      </c>
      <c r="G755" t="s">
        <v>1571</v>
      </c>
      <c r="H755">
        <v>0</v>
      </c>
      <c r="I755">
        <v>0</v>
      </c>
      <c r="J755" s="69"/>
      <c r="K755" t="s">
        <v>1571</v>
      </c>
    </row>
    <row r="756" spans="1:11" x14ac:dyDescent="0.25">
      <c r="A756" s="5" t="s">
        <v>1463</v>
      </c>
      <c r="B756" t="s">
        <v>1004</v>
      </c>
      <c r="C756">
        <v>0</v>
      </c>
      <c r="D756" t="s">
        <v>1097</v>
      </c>
      <c r="E756">
        <v>0</v>
      </c>
      <c r="F756" t="s">
        <v>1098</v>
      </c>
      <c r="G756" t="s">
        <v>1571</v>
      </c>
      <c r="H756">
        <v>0</v>
      </c>
      <c r="I756">
        <v>0</v>
      </c>
      <c r="J756" s="69"/>
      <c r="K756" t="s">
        <v>1571</v>
      </c>
    </row>
    <row r="757" spans="1:11" x14ac:dyDescent="0.25">
      <c r="A757" s="5" t="s">
        <v>1463</v>
      </c>
      <c r="B757" t="s">
        <v>1004</v>
      </c>
      <c r="C757">
        <v>0</v>
      </c>
      <c r="D757" t="s">
        <v>1099</v>
      </c>
      <c r="E757">
        <v>0</v>
      </c>
      <c r="F757" t="s">
        <v>1100</v>
      </c>
      <c r="G757" t="s">
        <v>1571</v>
      </c>
      <c r="H757">
        <v>0</v>
      </c>
      <c r="I757">
        <v>0</v>
      </c>
      <c r="J757" s="69"/>
      <c r="K757" t="s">
        <v>1571</v>
      </c>
    </row>
    <row r="758" spans="1:11" x14ac:dyDescent="0.25">
      <c r="A758" s="5" t="s">
        <v>1463</v>
      </c>
      <c r="B758" t="s">
        <v>1004</v>
      </c>
      <c r="C758">
        <v>0</v>
      </c>
      <c r="D758" t="s">
        <v>1907</v>
      </c>
      <c r="E758">
        <v>0</v>
      </c>
      <c r="F758" t="s">
        <v>1908</v>
      </c>
      <c r="G758" t="s">
        <v>1571</v>
      </c>
      <c r="H758">
        <v>0</v>
      </c>
      <c r="I758">
        <v>0</v>
      </c>
      <c r="J758" s="69"/>
      <c r="K758" t="s">
        <v>1571</v>
      </c>
    </row>
    <row r="759" spans="1:11" x14ac:dyDescent="0.25">
      <c r="A759" s="5" t="s">
        <v>1463</v>
      </c>
      <c r="B759" t="s">
        <v>1004</v>
      </c>
      <c r="C759">
        <v>0</v>
      </c>
      <c r="D759" t="s">
        <v>1101</v>
      </c>
      <c r="E759">
        <v>0</v>
      </c>
      <c r="F759" t="s">
        <v>1102</v>
      </c>
      <c r="G759" t="s">
        <v>1986</v>
      </c>
      <c r="H759">
        <v>0</v>
      </c>
      <c r="I759">
        <v>0</v>
      </c>
      <c r="J759" s="69"/>
      <c r="K759" t="s">
        <v>1571</v>
      </c>
    </row>
    <row r="760" spans="1:11" x14ac:dyDescent="0.25">
      <c r="A760" s="5" t="s">
        <v>1463</v>
      </c>
      <c r="B760" t="s">
        <v>1004</v>
      </c>
      <c r="C760">
        <v>0</v>
      </c>
      <c r="D760" t="s">
        <v>1103</v>
      </c>
      <c r="E760">
        <v>0</v>
      </c>
      <c r="F760" t="s">
        <v>1104</v>
      </c>
      <c r="G760" t="s">
        <v>1986</v>
      </c>
      <c r="H760">
        <v>0</v>
      </c>
      <c r="I760">
        <v>0</v>
      </c>
      <c r="J760" s="69"/>
      <c r="K760" t="s">
        <v>1571</v>
      </c>
    </row>
    <row r="761" spans="1:11" x14ac:dyDescent="0.25">
      <c r="A761" s="5" t="s">
        <v>1463</v>
      </c>
      <c r="B761" t="s">
        <v>1004</v>
      </c>
      <c r="C761">
        <v>0</v>
      </c>
      <c r="D761" t="s">
        <v>1105</v>
      </c>
      <c r="E761">
        <v>0</v>
      </c>
      <c r="F761" t="s">
        <v>1106</v>
      </c>
      <c r="G761" t="s">
        <v>1986</v>
      </c>
      <c r="H761">
        <v>0</v>
      </c>
      <c r="I761">
        <v>0</v>
      </c>
      <c r="J761" s="69"/>
      <c r="K761" t="s">
        <v>1571</v>
      </c>
    </row>
    <row r="762" spans="1:11" x14ac:dyDescent="0.25">
      <c r="A762" s="5" t="s">
        <v>1463</v>
      </c>
      <c r="B762" t="s">
        <v>1004</v>
      </c>
      <c r="C762">
        <v>0</v>
      </c>
      <c r="D762" t="s">
        <v>1107</v>
      </c>
      <c r="E762">
        <v>0</v>
      </c>
      <c r="F762" t="s">
        <v>1108</v>
      </c>
      <c r="G762" t="s">
        <v>1986</v>
      </c>
      <c r="H762">
        <v>0</v>
      </c>
      <c r="I762">
        <v>0</v>
      </c>
      <c r="J762" s="69"/>
      <c r="K762" t="s">
        <v>1571</v>
      </c>
    </row>
    <row r="763" spans="1:11" x14ac:dyDescent="0.25">
      <c r="A763" s="5" t="s">
        <v>1463</v>
      </c>
      <c r="B763" t="s">
        <v>1004</v>
      </c>
      <c r="C763">
        <v>0</v>
      </c>
      <c r="D763" t="s">
        <v>1109</v>
      </c>
      <c r="E763">
        <v>0</v>
      </c>
      <c r="F763" t="s">
        <v>1110</v>
      </c>
      <c r="G763" t="s">
        <v>1986</v>
      </c>
      <c r="H763">
        <v>0</v>
      </c>
      <c r="I763">
        <v>0</v>
      </c>
      <c r="J763" s="69"/>
      <c r="K763" t="s">
        <v>1571</v>
      </c>
    </row>
    <row r="764" spans="1:11" x14ac:dyDescent="0.25">
      <c r="A764" s="5" t="s">
        <v>1463</v>
      </c>
      <c r="B764" t="s">
        <v>1004</v>
      </c>
      <c r="C764">
        <v>0</v>
      </c>
      <c r="D764" t="s">
        <v>1111</v>
      </c>
      <c r="E764">
        <v>0</v>
      </c>
      <c r="F764" t="s">
        <v>1112</v>
      </c>
      <c r="G764" t="s">
        <v>1986</v>
      </c>
      <c r="H764">
        <v>0</v>
      </c>
      <c r="I764">
        <v>0</v>
      </c>
      <c r="J764" s="69"/>
      <c r="K764" t="s">
        <v>1571</v>
      </c>
    </row>
    <row r="765" spans="1:11" x14ac:dyDescent="0.25">
      <c r="A765" s="5" t="s">
        <v>1463</v>
      </c>
      <c r="B765" t="s">
        <v>1004</v>
      </c>
      <c r="C765">
        <v>0</v>
      </c>
      <c r="D765" t="s">
        <v>1113</v>
      </c>
      <c r="E765">
        <v>0</v>
      </c>
      <c r="F765" t="s">
        <v>1114</v>
      </c>
      <c r="G765" t="s">
        <v>1986</v>
      </c>
      <c r="H765">
        <v>0</v>
      </c>
      <c r="I765">
        <v>0</v>
      </c>
      <c r="J765" s="69"/>
      <c r="K765" t="s">
        <v>1571</v>
      </c>
    </row>
    <row r="766" spans="1:11" x14ac:dyDescent="0.25">
      <c r="A766" s="5" t="s">
        <v>1463</v>
      </c>
      <c r="B766" t="s">
        <v>1004</v>
      </c>
      <c r="C766">
        <v>0</v>
      </c>
      <c r="D766" t="s">
        <v>1115</v>
      </c>
      <c r="E766">
        <v>0</v>
      </c>
      <c r="F766" t="s">
        <v>1116</v>
      </c>
      <c r="G766" t="s">
        <v>1986</v>
      </c>
      <c r="H766">
        <v>0</v>
      </c>
      <c r="I766">
        <v>0</v>
      </c>
      <c r="J766" s="69"/>
      <c r="K766" t="s">
        <v>1571</v>
      </c>
    </row>
    <row r="767" spans="1:11" x14ac:dyDescent="0.25">
      <c r="A767" s="5" t="s">
        <v>1463</v>
      </c>
      <c r="B767" t="s">
        <v>1004</v>
      </c>
      <c r="C767">
        <v>0</v>
      </c>
      <c r="D767" t="s">
        <v>1117</v>
      </c>
      <c r="E767">
        <v>0</v>
      </c>
      <c r="F767" t="s">
        <v>1118</v>
      </c>
      <c r="G767" t="s">
        <v>1986</v>
      </c>
      <c r="H767">
        <v>0</v>
      </c>
      <c r="I767">
        <v>0</v>
      </c>
      <c r="J767" s="69"/>
      <c r="K767" t="s">
        <v>1571</v>
      </c>
    </row>
    <row r="768" spans="1:11" x14ac:dyDescent="0.25">
      <c r="A768" s="5" t="s">
        <v>1463</v>
      </c>
      <c r="B768" t="s">
        <v>1004</v>
      </c>
      <c r="C768">
        <v>0</v>
      </c>
      <c r="D768" t="s">
        <v>1119</v>
      </c>
      <c r="E768">
        <v>0</v>
      </c>
      <c r="F768" t="s">
        <v>1120</v>
      </c>
      <c r="G768" t="s">
        <v>1986</v>
      </c>
      <c r="H768">
        <v>0</v>
      </c>
      <c r="I768">
        <v>0</v>
      </c>
      <c r="J768" s="69"/>
      <c r="K768" t="s">
        <v>1571</v>
      </c>
    </row>
    <row r="769" spans="1:11" x14ac:dyDescent="0.25">
      <c r="A769" s="5" t="s">
        <v>1463</v>
      </c>
      <c r="B769" t="s">
        <v>1004</v>
      </c>
      <c r="C769">
        <v>0</v>
      </c>
      <c r="D769" t="s">
        <v>1121</v>
      </c>
      <c r="E769">
        <v>0</v>
      </c>
      <c r="F769" t="s">
        <v>1122</v>
      </c>
      <c r="G769" t="s">
        <v>1986</v>
      </c>
      <c r="H769">
        <v>0</v>
      </c>
      <c r="I769">
        <v>0</v>
      </c>
      <c r="J769" s="69"/>
      <c r="K769" t="s">
        <v>1571</v>
      </c>
    </row>
    <row r="770" spans="1:11" x14ac:dyDescent="0.25">
      <c r="A770" s="5" t="s">
        <v>1463</v>
      </c>
      <c r="B770" t="s">
        <v>1004</v>
      </c>
      <c r="C770">
        <v>0</v>
      </c>
      <c r="D770" t="s">
        <v>1591</v>
      </c>
      <c r="E770">
        <v>0</v>
      </c>
      <c r="F770" t="s">
        <v>1592</v>
      </c>
      <c r="G770" t="s">
        <v>1986</v>
      </c>
      <c r="H770">
        <v>0</v>
      </c>
      <c r="I770">
        <v>0</v>
      </c>
      <c r="J770" s="69"/>
      <c r="K770" t="s">
        <v>1571</v>
      </c>
    </row>
    <row r="771" spans="1:11" x14ac:dyDescent="0.25">
      <c r="A771" s="5" t="s">
        <v>1463</v>
      </c>
      <c r="B771" t="s">
        <v>1004</v>
      </c>
      <c r="C771">
        <v>0</v>
      </c>
      <c r="D771" t="s">
        <v>2175</v>
      </c>
      <c r="E771">
        <v>0</v>
      </c>
      <c r="F771" t="s">
        <v>2176</v>
      </c>
      <c r="G771" t="s">
        <v>1986</v>
      </c>
      <c r="H771">
        <v>0</v>
      </c>
      <c r="I771">
        <v>0</v>
      </c>
      <c r="J771" s="69"/>
      <c r="K771" t="s">
        <v>1571</v>
      </c>
    </row>
    <row r="772" spans="1:11" x14ac:dyDescent="0.25">
      <c r="A772" s="5" t="s">
        <v>1463</v>
      </c>
      <c r="B772" t="s">
        <v>1004</v>
      </c>
      <c r="C772">
        <v>0</v>
      </c>
      <c r="D772" t="s">
        <v>1123</v>
      </c>
      <c r="E772">
        <v>0</v>
      </c>
      <c r="F772" t="s">
        <v>1124</v>
      </c>
      <c r="G772" t="s">
        <v>1986</v>
      </c>
      <c r="H772">
        <v>0</v>
      </c>
      <c r="I772">
        <v>0</v>
      </c>
      <c r="J772" s="69"/>
      <c r="K772" t="s">
        <v>1571</v>
      </c>
    </row>
    <row r="773" spans="1:11" x14ac:dyDescent="0.25">
      <c r="A773" s="5" t="s">
        <v>1463</v>
      </c>
      <c r="B773" t="s">
        <v>1004</v>
      </c>
      <c r="C773">
        <v>0</v>
      </c>
      <c r="D773" t="s">
        <v>1125</v>
      </c>
      <c r="E773">
        <v>0</v>
      </c>
      <c r="F773" t="s">
        <v>1126</v>
      </c>
      <c r="G773" t="s">
        <v>1986</v>
      </c>
      <c r="H773">
        <v>0</v>
      </c>
      <c r="I773">
        <v>0</v>
      </c>
      <c r="J773" s="69"/>
      <c r="K773" t="s">
        <v>1571</v>
      </c>
    </row>
    <row r="774" spans="1:11" x14ac:dyDescent="0.25">
      <c r="A774" s="5" t="s">
        <v>1463</v>
      </c>
      <c r="B774" t="s">
        <v>1004</v>
      </c>
      <c r="C774">
        <v>0</v>
      </c>
      <c r="D774" t="s">
        <v>2177</v>
      </c>
      <c r="E774">
        <v>0</v>
      </c>
      <c r="F774" t="s">
        <v>2178</v>
      </c>
      <c r="G774" t="s">
        <v>1986</v>
      </c>
      <c r="H774">
        <v>0</v>
      </c>
      <c r="I774">
        <v>0</v>
      </c>
      <c r="J774" s="69"/>
      <c r="K774" t="s">
        <v>1571</v>
      </c>
    </row>
    <row r="775" spans="1:11" x14ac:dyDescent="0.25">
      <c r="A775" s="5" t="s">
        <v>1463</v>
      </c>
      <c r="B775" t="s">
        <v>1004</v>
      </c>
      <c r="C775">
        <v>0</v>
      </c>
      <c r="D775" t="s">
        <v>1127</v>
      </c>
      <c r="E775">
        <v>0</v>
      </c>
      <c r="F775" t="s">
        <v>1128</v>
      </c>
      <c r="G775" t="s">
        <v>1986</v>
      </c>
      <c r="H775">
        <v>0</v>
      </c>
      <c r="I775">
        <v>0</v>
      </c>
      <c r="J775" s="69"/>
      <c r="K775" t="s">
        <v>1571</v>
      </c>
    </row>
    <row r="776" spans="1:11" x14ac:dyDescent="0.25">
      <c r="A776" s="5" t="s">
        <v>1463</v>
      </c>
      <c r="B776" t="s">
        <v>1004</v>
      </c>
      <c r="C776">
        <v>0</v>
      </c>
      <c r="D776" t="s">
        <v>1129</v>
      </c>
      <c r="E776">
        <v>0</v>
      </c>
      <c r="F776" t="s">
        <v>1130</v>
      </c>
      <c r="G776" t="s">
        <v>1986</v>
      </c>
      <c r="H776">
        <v>0</v>
      </c>
      <c r="I776">
        <v>0</v>
      </c>
      <c r="J776" s="69"/>
      <c r="K776" t="s">
        <v>1571</v>
      </c>
    </row>
    <row r="777" spans="1:11" x14ac:dyDescent="0.25">
      <c r="A777" s="5" t="s">
        <v>1463</v>
      </c>
      <c r="B777" t="s">
        <v>1004</v>
      </c>
      <c r="C777">
        <v>0</v>
      </c>
      <c r="D777" t="s">
        <v>1131</v>
      </c>
      <c r="E777">
        <v>0</v>
      </c>
      <c r="F777" t="s">
        <v>1132</v>
      </c>
      <c r="G777" t="s">
        <v>1986</v>
      </c>
      <c r="H777">
        <v>0</v>
      </c>
      <c r="I777">
        <v>0</v>
      </c>
      <c r="J777" s="69"/>
      <c r="K777" t="s">
        <v>1571</v>
      </c>
    </row>
    <row r="778" spans="1:11" x14ac:dyDescent="0.25">
      <c r="A778" s="5" t="s">
        <v>1463</v>
      </c>
      <c r="B778" t="s">
        <v>1004</v>
      </c>
      <c r="C778">
        <v>0</v>
      </c>
      <c r="D778" t="s">
        <v>1133</v>
      </c>
      <c r="E778">
        <v>0</v>
      </c>
      <c r="F778" t="s">
        <v>1134</v>
      </c>
      <c r="G778" t="s">
        <v>1986</v>
      </c>
      <c r="H778">
        <v>0</v>
      </c>
      <c r="I778">
        <v>0</v>
      </c>
      <c r="J778" s="69"/>
      <c r="K778" t="s">
        <v>1571</v>
      </c>
    </row>
    <row r="779" spans="1:11" x14ac:dyDescent="0.25">
      <c r="A779" s="5" t="s">
        <v>1463</v>
      </c>
      <c r="B779" t="s">
        <v>1004</v>
      </c>
      <c r="C779">
        <v>0</v>
      </c>
      <c r="D779" t="s">
        <v>1135</v>
      </c>
      <c r="E779">
        <v>0</v>
      </c>
      <c r="F779" t="s">
        <v>1136</v>
      </c>
      <c r="G779" t="s">
        <v>1986</v>
      </c>
      <c r="H779">
        <v>0</v>
      </c>
      <c r="I779">
        <v>0</v>
      </c>
      <c r="J779" s="69"/>
      <c r="K779" t="s">
        <v>1571</v>
      </c>
    </row>
    <row r="780" spans="1:11" x14ac:dyDescent="0.25">
      <c r="A780" s="5" t="s">
        <v>1463</v>
      </c>
      <c r="B780" t="s">
        <v>1004</v>
      </c>
      <c r="C780">
        <v>0</v>
      </c>
      <c r="D780" t="s">
        <v>1137</v>
      </c>
      <c r="E780">
        <v>0</v>
      </c>
      <c r="F780" t="s">
        <v>1138</v>
      </c>
      <c r="G780" t="s">
        <v>1986</v>
      </c>
      <c r="H780">
        <v>0</v>
      </c>
      <c r="I780">
        <v>0</v>
      </c>
      <c r="J780" s="69"/>
      <c r="K780" t="s">
        <v>1571</v>
      </c>
    </row>
    <row r="781" spans="1:11" x14ac:dyDescent="0.25">
      <c r="A781" s="5" t="s">
        <v>1463</v>
      </c>
      <c r="B781" t="s">
        <v>1004</v>
      </c>
      <c r="C781">
        <v>0</v>
      </c>
      <c r="D781" t="s">
        <v>1139</v>
      </c>
      <c r="E781">
        <v>0</v>
      </c>
      <c r="F781" t="s">
        <v>1140</v>
      </c>
      <c r="G781" t="s">
        <v>1986</v>
      </c>
      <c r="H781">
        <v>0</v>
      </c>
      <c r="I781">
        <v>0</v>
      </c>
      <c r="J781" s="69"/>
      <c r="K781" t="s">
        <v>1571</v>
      </c>
    </row>
    <row r="782" spans="1:11" x14ac:dyDescent="0.25">
      <c r="A782" s="5" t="s">
        <v>1463</v>
      </c>
      <c r="B782" t="s">
        <v>1004</v>
      </c>
      <c r="C782">
        <v>0</v>
      </c>
      <c r="D782" t="s">
        <v>1141</v>
      </c>
      <c r="E782">
        <v>0</v>
      </c>
      <c r="F782" t="s">
        <v>1142</v>
      </c>
      <c r="G782" t="s">
        <v>1986</v>
      </c>
      <c r="H782">
        <v>0</v>
      </c>
      <c r="I782">
        <v>0</v>
      </c>
      <c r="J782" s="69"/>
      <c r="K782" t="s">
        <v>1571</v>
      </c>
    </row>
    <row r="783" spans="1:11" x14ac:dyDescent="0.25">
      <c r="A783" s="5" t="s">
        <v>1463</v>
      </c>
      <c r="B783" t="s">
        <v>1004</v>
      </c>
      <c r="C783">
        <v>0</v>
      </c>
      <c r="D783" t="s">
        <v>1143</v>
      </c>
      <c r="E783">
        <v>0</v>
      </c>
      <c r="F783" t="s">
        <v>180</v>
      </c>
      <c r="G783" t="s">
        <v>1952</v>
      </c>
      <c r="H783">
        <v>0</v>
      </c>
      <c r="I783">
        <v>0</v>
      </c>
      <c r="J783" s="69"/>
      <c r="K783" t="s">
        <v>1571</v>
      </c>
    </row>
    <row r="784" spans="1:11" x14ac:dyDescent="0.25">
      <c r="A784" s="5" t="s">
        <v>1463</v>
      </c>
      <c r="B784" t="s">
        <v>1004</v>
      </c>
      <c r="C784">
        <v>0</v>
      </c>
      <c r="D784" t="s">
        <v>1144</v>
      </c>
      <c r="E784">
        <v>0</v>
      </c>
      <c r="F784" t="s">
        <v>1145</v>
      </c>
      <c r="G784" t="s">
        <v>1952</v>
      </c>
      <c r="H784">
        <v>0</v>
      </c>
      <c r="I784">
        <v>0</v>
      </c>
      <c r="J784" s="69"/>
      <c r="K784" t="s">
        <v>1571</v>
      </c>
    </row>
    <row r="785" spans="1:11" x14ac:dyDescent="0.25">
      <c r="A785" s="5" t="s">
        <v>1463</v>
      </c>
      <c r="B785" t="s">
        <v>1004</v>
      </c>
      <c r="C785">
        <v>0</v>
      </c>
      <c r="D785" t="s">
        <v>1146</v>
      </c>
      <c r="E785">
        <v>0</v>
      </c>
      <c r="F785" t="s">
        <v>1147</v>
      </c>
      <c r="G785" t="s">
        <v>1952</v>
      </c>
      <c r="H785">
        <v>0</v>
      </c>
      <c r="I785">
        <v>0</v>
      </c>
      <c r="J785" s="69"/>
      <c r="K785" t="s">
        <v>1571</v>
      </c>
    </row>
    <row r="786" spans="1:11" x14ac:dyDescent="0.25">
      <c r="A786" s="5" t="s">
        <v>1463</v>
      </c>
      <c r="B786" t="s">
        <v>1004</v>
      </c>
      <c r="C786">
        <v>0</v>
      </c>
      <c r="D786" t="s">
        <v>1148</v>
      </c>
      <c r="E786">
        <v>0</v>
      </c>
      <c r="F786" t="s">
        <v>1149</v>
      </c>
      <c r="G786" t="s">
        <v>1994</v>
      </c>
      <c r="H786">
        <v>0</v>
      </c>
      <c r="I786">
        <v>0</v>
      </c>
      <c r="J786" s="69"/>
      <c r="K786" t="s">
        <v>1571</v>
      </c>
    </row>
    <row r="787" spans="1:11" x14ac:dyDescent="0.25">
      <c r="A787" s="5" t="s">
        <v>1463</v>
      </c>
      <c r="B787" t="s">
        <v>1004</v>
      </c>
      <c r="C787">
        <v>0</v>
      </c>
      <c r="D787" t="s">
        <v>1148</v>
      </c>
      <c r="E787">
        <v>0</v>
      </c>
      <c r="F787" t="s">
        <v>1149</v>
      </c>
      <c r="G787" t="s">
        <v>1996</v>
      </c>
      <c r="H787">
        <v>0</v>
      </c>
      <c r="I787">
        <v>0</v>
      </c>
      <c r="J787" s="69"/>
      <c r="K787" t="s">
        <v>1571</v>
      </c>
    </row>
    <row r="788" spans="1:11" x14ac:dyDescent="0.25">
      <c r="A788" s="5" t="s">
        <v>1463</v>
      </c>
      <c r="B788" t="s">
        <v>1004</v>
      </c>
      <c r="C788">
        <v>0</v>
      </c>
      <c r="D788" t="s">
        <v>1150</v>
      </c>
      <c r="E788">
        <v>0</v>
      </c>
      <c r="F788" t="s">
        <v>1151</v>
      </c>
      <c r="G788" t="s">
        <v>2001</v>
      </c>
      <c r="H788">
        <v>0</v>
      </c>
      <c r="I788">
        <v>0</v>
      </c>
      <c r="J788" s="69"/>
      <c r="K788" t="s">
        <v>1571</v>
      </c>
    </row>
    <row r="789" spans="1:11" x14ac:dyDescent="0.25">
      <c r="A789" s="5" t="s">
        <v>1463</v>
      </c>
      <c r="B789" t="s">
        <v>1004</v>
      </c>
      <c r="C789">
        <v>0</v>
      </c>
      <c r="D789" t="s">
        <v>1152</v>
      </c>
      <c r="E789">
        <v>0</v>
      </c>
      <c r="F789" t="s">
        <v>473</v>
      </c>
      <c r="G789" t="s">
        <v>2002</v>
      </c>
      <c r="H789">
        <v>0</v>
      </c>
      <c r="I789">
        <v>0</v>
      </c>
      <c r="J789" s="69"/>
      <c r="K789" t="s">
        <v>1571</v>
      </c>
    </row>
    <row r="790" spans="1:11" x14ac:dyDescent="0.25">
      <c r="A790" s="5" t="s">
        <v>1463</v>
      </c>
      <c r="B790" t="s">
        <v>1004</v>
      </c>
      <c r="C790">
        <v>0</v>
      </c>
      <c r="D790" t="s">
        <v>1152</v>
      </c>
      <c r="E790">
        <v>0</v>
      </c>
      <c r="F790" t="s">
        <v>473</v>
      </c>
      <c r="G790" t="s">
        <v>2003</v>
      </c>
      <c r="H790">
        <v>0</v>
      </c>
      <c r="I790">
        <v>0</v>
      </c>
      <c r="J790" s="69"/>
      <c r="K790" t="s">
        <v>1571</v>
      </c>
    </row>
    <row r="791" spans="1:11" x14ac:dyDescent="0.25">
      <c r="A791" s="5" t="s">
        <v>1463</v>
      </c>
      <c r="B791" t="s">
        <v>1004</v>
      </c>
      <c r="C791">
        <v>0</v>
      </c>
      <c r="D791" t="s">
        <v>1155</v>
      </c>
      <c r="E791">
        <v>0</v>
      </c>
      <c r="F791" t="s">
        <v>1156</v>
      </c>
      <c r="G791" t="s">
        <v>2179</v>
      </c>
      <c r="H791">
        <v>0</v>
      </c>
      <c r="I791">
        <v>0</v>
      </c>
      <c r="J791" s="69"/>
      <c r="K791" t="s">
        <v>1571</v>
      </c>
    </row>
    <row r="792" spans="1:11" x14ac:dyDescent="0.25">
      <c r="A792" s="5" t="s">
        <v>1463</v>
      </c>
      <c r="B792" t="s">
        <v>1004</v>
      </c>
      <c r="C792">
        <v>0</v>
      </c>
      <c r="D792" t="s">
        <v>1153</v>
      </c>
      <c r="E792">
        <v>0</v>
      </c>
      <c r="F792" t="s">
        <v>1154</v>
      </c>
      <c r="G792">
        <v>3121883</v>
      </c>
      <c r="H792">
        <v>0</v>
      </c>
      <c r="I792">
        <v>0</v>
      </c>
      <c r="J792" s="69"/>
      <c r="K792" t="s">
        <v>1571</v>
      </c>
    </row>
    <row r="793" spans="1:11" x14ac:dyDescent="0.25">
      <c r="A793" s="5" t="s">
        <v>1463</v>
      </c>
      <c r="B793" t="s">
        <v>1004</v>
      </c>
      <c r="C793">
        <v>0</v>
      </c>
      <c r="D793" t="s">
        <v>1153</v>
      </c>
      <c r="E793">
        <v>0</v>
      </c>
      <c r="F793" t="s">
        <v>1154</v>
      </c>
      <c r="G793">
        <v>2878522</v>
      </c>
      <c r="H793">
        <v>0</v>
      </c>
      <c r="I793">
        <v>0</v>
      </c>
      <c r="J793" s="69"/>
      <c r="K793" t="s">
        <v>1571</v>
      </c>
    </row>
    <row r="794" spans="1:11" x14ac:dyDescent="0.25">
      <c r="A794" s="5" t="s">
        <v>1463</v>
      </c>
      <c r="B794" t="s">
        <v>1004</v>
      </c>
      <c r="C794">
        <v>0</v>
      </c>
      <c r="D794" t="s">
        <v>1157</v>
      </c>
      <c r="E794">
        <v>0</v>
      </c>
      <c r="F794" t="s">
        <v>1158</v>
      </c>
      <c r="G794" t="s">
        <v>2014</v>
      </c>
      <c r="H794">
        <v>0</v>
      </c>
      <c r="I794">
        <v>0</v>
      </c>
      <c r="J794" s="69"/>
      <c r="K794" t="s">
        <v>1571</v>
      </c>
    </row>
    <row r="795" spans="1:11" x14ac:dyDescent="0.25">
      <c r="A795" s="5" t="s">
        <v>1463</v>
      </c>
      <c r="B795" t="s">
        <v>1004</v>
      </c>
      <c r="C795">
        <v>0</v>
      </c>
      <c r="D795" t="s">
        <v>1159</v>
      </c>
      <c r="E795">
        <v>0</v>
      </c>
      <c r="F795" t="s">
        <v>1160</v>
      </c>
      <c r="G795" t="s">
        <v>2014</v>
      </c>
      <c r="H795">
        <v>0</v>
      </c>
      <c r="I795">
        <v>0</v>
      </c>
      <c r="J795" s="69"/>
      <c r="K795" t="s">
        <v>1571</v>
      </c>
    </row>
    <row r="796" spans="1:11" x14ac:dyDescent="0.25">
      <c r="A796" s="5" t="s">
        <v>1463</v>
      </c>
      <c r="B796" t="s">
        <v>1004</v>
      </c>
      <c r="C796">
        <v>0</v>
      </c>
      <c r="D796" t="s">
        <v>1161</v>
      </c>
      <c r="E796">
        <v>0</v>
      </c>
      <c r="F796" t="s">
        <v>1162</v>
      </c>
      <c r="G796" t="s">
        <v>2014</v>
      </c>
      <c r="H796">
        <v>0</v>
      </c>
      <c r="I796">
        <v>0</v>
      </c>
      <c r="J796" s="69"/>
      <c r="K796" t="s">
        <v>1571</v>
      </c>
    </row>
    <row r="797" spans="1:11" x14ac:dyDescent="0.25">
      <c r="A797" s="5" t="s">
        <v>1463</v>
      </c>
      <c r="B797" t="s">
        <v>1004</v>
      </c>
      <c r="C797">
        <v>0</v>
      </c>
      <c r="D797" t="s">
        <v>1163</v>
      </c>
      <c r="E797">
        <v>0</v>
      </c>
      <c r="F797" t="s">
        <v>1164</v>
      </c>
      <c r="G797" t="s">
        <v>2014</v>
      </c>
      <c r="H797">
        <v>0</v>
      </c>
      <c r="I797">
        <v>0</v>
      </c>
      <c r="J797" s="69"/>
      <c r="K797" t="s">
        <v>1571</v>
      </c>
    </row>
    <row r="798" spans="1:11" x14ac:dyDescent="0.25">
      <c r="A798" s="5" t="s">
        <v>1463</v>
      </c>
      <c r="B798" t="s">
        <v>1004</v>
      </c>
      <c r="C798">
        <v>0</v>
      </c>
      <c r="D798" t="s">
        <v>1165</v>
      </c>
      <c r="E798">
        <v>0</v>
      </c>
      <c r="F798" t="s">
        <v>1166</v>
      </c>
      <c r="G798" t="s">
        <v>2014</v>
      </c>
      <c r="H798">
        <v>0</v>
      </c>
      <c r="I798">
        <v>0</v>
      </c>
      <c r="J798" s="69"/>
      <c r="K798" t="s">
        <v>1571</v>
      </c>
    </row>
    <row r="799" spans="1:11" x14ac:dyDescent="0.25">
      <c r="A799" s="5" t="s">
        <v>1463</v>
      </c>
      <c r="B799" t="s">
        <v>1004</v>
      </c>
      <c r="C799">
        <v>0</v>
      </c>
      <c r="D799" t="s">
        <v>1150</v>
      </c>
      <c r="E799">
        <v>0</v>
      </c>
      <c r="F799" t="s">
        <v>1151</v>
      </c>
      <c r="G799" t="s">
        <v>2033</v>
      </c>
      <c r="H799">
        <v>0</v>
      </c>
      <c r="I799">
        <v>0</v>
      </c>
      <c r="J799" s="69"/>
      <c r="K799" t="s">
        <v>1571</v>
      </c>
    </row>
    <row r="800" spans="1:11" x14ac:dyDescent="0.25">
      <c r="A800" s="5" t="s">
        <v>1463</v>
      </c>
      <c r="B800" t="s">
        <v>1004</v>
      </c>
      <c r="C800">
        <v>0</v>
      </c>
      <c r="D800" t="s">
        <v>1153</v>
      </c>
      <c r="E800">
        <v>0</v>
      </c>
      <c r="F800" t="s">
        <v>1154</v>
      </c>
      <c r="G800">
        <v>3764509</v>
      </c>
      <c r="H800">
        <v>0</v>
      </c>
      <c r="I800">
        <v>0</v>
      </c>
      <c r="J800" s="69"/>
      <c r="K800" t="s">
        <v>1571</v>
      </c>
    </row>
    <row r="801" spans="1:11" x14ac:dyDescent="0.25">
      <c r="A801" s="5" t="s">
        <v>1463</v>
      </c>
      <c r="B801" t="s">
        <v>1004</v>
      </c>
      <c r="C801">
        <v>0</v>
      </c>
      <c r="D801" t="s">
        <v>1904</v>
      </c>
      <c r="E801">
        <v>0</v>
      </c>
      <c r="F801" t="s">
        <v>1905</v>
      </c>
      <c r="G801" t="s">
        <v>2180</v>
      </c>
      <c r="H801">
        <v>0</v>
      </c>
      <c r="I801">
        <v>0</v>
      </c>
      <c r="J801" s="69"/>
      <c r="K801" t="s">
        <v>1571</v>
      </c>
    </row>
    <row r="802" spans="1:11" x14ac:dyDescent="0.25">
      <c r="A802" s="5" t="s">
        <v>1463</v>
      </c>
      <c r="B802" t="s">
        <v>1004</v>
      </c>
      <c r="C802">
        <v>0</v>
      </c>
      <c r="D802" t="s">
        <v>1904</v>
      </c>
      <c r="E802">
        <v>0</v>
      </c>
      <c r="F802" t="s">
        <v>1905</v>
      </c>
      <c r="G802" t="s">
        <v>2181</v>
      </c>
      <c r="H802">
        <v>0</v>
      </c>
      <c r="I802">
        <v>0</v>
      </c>
      <c r="J802" s="69"/>
      <c r="K802" t="s">
        <v>1571</v>
      </c>
    </row>
    <row r="803" spans="1:11" x14ac:dyDescent="0.25">
      <c r="A803" s="5" t="s">
        <v>1463</v>
      </c>
      <c r="B803" t="s">
        <v>1004</v>
      </c>
      <c r="C803">
        <v>0</v>
      </c>
      <c r="D803" t="s">
        <v>1904</v>
      </c>
      <c r="E803">
        <v>0</v>
      </c>
      <c r="F803" t="s">
        <v>1905</v>
      </c>
      <c r="G803" t="s">
        <v>2182</v>
      </c>
      <c r="H803">
        <v>0</v>
      </c>
      <c r="I803">
        <v>0</v>
      </c>
      <c r="J803" s="69"/>
      <c r="K803" t="s">
        <v>1571</v>
      </c>
    </row>
    <row r="804" spans="1:11" x14ac:dyDescent="0.25">
      <c r="A804" s="5" t="s">
        <v>1463</v>
      </c>
      <c r="B804" t="s">
        <v>1004</v>
      </c>
      <c r="C804">
        <v>0</v>
      </c>
      <c r="D804" t="s">
        <v>1153</v>
      </c>
      <c r="E804">
        <v>0</v>
      </c>
      <c r="F804" t="s">
        <v>1154</v>
      </c>
      <c r="G804">
        <v>3514714</v>
      </c>
      <c r="H804">
        <v>0</v>
      </c>
      <c r="I804">
        <v>0</v>
      </c>
      <c r="J804" s="69"/>
      <c r="K804" t="s">
        <v>1571</v>
      </c>
    </row>
    <row r="805" spans="1:11" x14ac:dyDescent="0.25">
      <c r="A805" s="5" t="s">
        <v>1463</v>
      </c>
      <c r="B805" t="s">
        <v>1004</v>
      </c>
      <c r="C805">
        <v>0</v>
      </c>
      <c r="D805" t="s">
        <v>1007</v>
      </c>
      <c r="E805">
        <v>0</v>
      </c>
      <c r="F805" t="s">
        <v>1008</v>
      </c>
      <c r="G805" t="s">
        <v>2043</v>
      </c>
      <c r="H805">
        <v>0</v>
      </c>
      <c r="I805">
        <v>0</v>
      </c>
      <c r="J805" s="69"/>
      <c r="K805" t="s">
        <v>1571</v>
      </c>
    </row>
    <row r="806" spans="1:11" x14ac:dyDescent="0.25">
      <c r="A806" s="5" t="s">
        <v>1463</v>
      </c>
      <c r="B806" t="s">
        <v>1004</v>
      </c>
      <c r="C806">
        <v>0</v>
      </c>
      <c r="D806" t="s">
        <v>1167</v>
      </c>
      <c r="E806">
        <v>0</v>
      </c>
      <c r="F806" t="s">
        <v>1168</v>
      </c>
      <c r="G806" t="s">
        <v>2045</v>
      </c>
      <c r="H806">
        <v>0</v>
      </c>
      <c r="I806">
        <v>0</v>
      </c>
      <c r="J806" s="69"/>
      <c r="K806" t="s">
        <v>1571</v>
      </c>
    </row>
    <row r="807" spans="1:11" x14ac:dyDescent="0.25">
      <c r="A807" s="5" t="s">
        <v>1463</v>
      </c>
      <c r="B807" t="s">
        <v>1004</v>
      </c>
      <c r="C807">
        <v>0</v>
      </c>
      <c r="D807" t="s">
        <v>2183</v>
      </c>
      <c r="E807">
        <v>0</v>
      </c>
      <c r="F807" t="s">
        <v>2184</v>
      </c>
      <c r="G807" t="s">
        <v>2045</v>
      </c>
      <c r="H807">
        <v>0</v>
      </c>
      <c r="I807">
        <v>0</v>
      </c>
      <c r="J807" s="69"/>
      <c r="K807" t="s">
        <v>1571</v>
      </c>
    </row>
    <row r="808" spans="1:11" x14ac:dyDescent="0.25">
      <c r="A808" s="5" t="s">
        <v>1463</v>
      </c>
      <c r="B808" t="s">
        <v>1004</v>
      </c>
      <c r="C808">
        <v>0</v>
      </c>
      <c r="D808" t="s">
        <v>1169</v>
      </c>
      <c r="E808">
        <v>0</v>
      </c>
      <c r="F808" t="s">
        <v>1170</v>
      </c>
      <c r="G808" t="s">
        <v>2055</v>
      </c>
      <c r="H808">
        <v>0</v>
      </c>
      <c r="I808">
        <v>0</v>
      </c>
      <c r="J808" s="69"/>
      <c r="K808" t="s">
        <v>1571</v>
      </c>
    </row>
    <row r="809" spans="1:11" x14ac:dyDescent="0.25">
      <c r="A809" s="5" t="s">
        <v>1463</v>
      </c>
      <c r="B809" t="s">
        <v>1004</v>
      </c>
      <c r="C809">
        <v>0</v>
      </c>
      <c r="D809" t="s">
        <v>2185</v>
      </c>
      <c r="E809">
        <v>0</v>
      </c>
      <c r="F809" t="s">
        <v>2186</v>
      </c>
      <c r="G809" t="s">
        <v>2057</v>
      </c>
      <c r="H809">
        <v>0</v>
      </c>
      <c r="I809">
        <v>0</v>
      </c>
      <c r="J809" s="69"/>
      <c r="K809" t="s">
        <v>1571</v>
      </c>
    </row>
    <row r="810" spans="1:11" x14ac:dyDescent="0.25">
      <c r="A810" s="5" t="s">
        <v>1463</v>
      </c>
      <c r="B810" t="s">
        <v>1004</v>
      </c>
      <c r="C810">
        <v>0</v>
      </c>
      <c r="D810" t="s">
        <v>1171</v>
      </c>
      <c r="E810">
        <v>0</v>
      </c>
      <c r="F810" t="s">
        <v>1172</v>
      </c>
      <c r="G810" t="s">
        <v>2057</v>
      </c>
      <c r="H810">
        <v>0</v>
      </c>
      <c r="I810">
        <v>0</v>
      </c>
      <c r="J810" s="69"/>
      <c r="K810" t="s">
        <v>1571</v>
      </c>
    </row>
    <row r="811" spans="1:11" x14ac:dyDescent="0.25">
      <c r="A811" s="5" t="s">
        <v>1463</v>
      </c>
      <c r="B811" t="s">
        <v>1004</v>
      </c>
      <c r="C811">
        <v>0</v>
      </c>
      <c r="D811" t="s">
        <v>1143</v>
      </c>
      <c r="E811">
        <v>0</v>
      </c>
      <c r="F811" t="s">
        <v>180</v>
      </c>
      <c r="G811" t="s">
        <v>1943</v>
      </c>
      <c r="H811">
        <v>0</v>
      </c>
      <c r="I811">
        <v>0</v>
      </c>
      <c r="J811" s="69"/>
      <c r="K811" t="s">
        <v>1571</v>
      </c>
    </row>
    <row r="812" spans="1:11" x14ac:dyDescent="0.25">
      <c r="A812" s="5" t="s">
        <v>1463</v>
      </c>
      <c r="B812" t="s">
        <v>1004</v>
      </c>
      <c r="C812">
        <v>0</v>
      </c>
      <c r="D812" t="s">
        <v>1144</v>
      </c>
      <c r="E812">
        <v>0</v>
      </c>
      <c r="F812" t="s">
        <v>1145</v>
      </c>
      <c r="G812" t="s">
        <v>1943</v>
      </c>
      <c r="H812">
        <v>0</v>
      </c>
      <c r="I812">
        <v>0</v>
      </c>
      <c r="J812" s="69"/>
      <c r="K812" t="s">
        <v>1571</v>
      </c>
    </row>
    <row r="813" spans="1:11" x14ac:dyDescent="0.25">
      <c r="A813" s="5" t="s">
        <v>1463</v>
      </c>
      <c r="B813" t="s">
        <v>1004</v>
      </c>
      <c r="C813">
        <v>0</v>
      </c>
      <c r="D813" t="s">
        <v>1146</v>
      </c>
      <c r="E813">
        <v>0</v>
      </c>
      <c r="F813" t="s">
        <v>1147</v>
      </c>
      <c r="G813" t="s">
        <v>1943</v>
      </c>
      <c r="H813">
        <v>0</v>
      </c>
      <c r="I813">
        <v>0</v>
      </c>
      <c r="J813" s="69"/>
      <c r="K813" t="s">
        <v>1571</v>
      </c>
    </row>
    <row r="814" spans="1:11" x14ac:dyDescent="0.25">
      <c r="A814" s="5" t="s">
        <v>1463</v>
      </c>
      <c r="B814" t="s">
        <v>1004</v>
      </c>
      <c r="C814">
        <v>0</v>
      </c>
      <c r="D814" t="s">
        <v>1173</v>
      </c>
      <c r="E814">
        <v>0</v>
      </c>
      <c r="F814" t="s">
        <v>1174</v>
      </c>
      <c r="G814" t="s">
        <v>1967</v>
      </c>
      <c r="H814">
        <v>0</v>
      </c>
      <c r="I814">
        <v>0</v>
      </c>
      <c r="J814" s="69"/>
      <c r="K814" t="s">
        <v>1571</v>
      </c>
    </row>
    <row r="815" spans="1:11" x14ac:dyDescent="0.25">
      <c r="A815" s="5" t="s">
        <v>1463</v>
      </c>
      <c r="B815" t="s">
        <v>1004</v>
      </c>
      <c r="C815">
        <v>0</v>
      </c>
      <c r="D815" t="s">
        <v>1175</v>
      </c>
      <c r="E815">
        <v>0</v>
      </c>
      <c r="F815" t="s">
        <v>1176</v>
      </c>
      <c r="G815" t="s">
        <v>1967</v>
      </c>
      <c r="H815">
        <v>0</v>
      </c>
      <c r="I815">
        <v>0</v>
      </c>
      <c r="J815" s="69"/>
      <c r="K815" t="s">
        <v>1571</v>
      </c>
    </row>
    <row r="816" spans="1:11" x14ac:dyDescent="0.25">
      <c r="A816" s="5" t="s">
        <v>1463</v>
      </c>
      <c r="B816" t="s">
        <v>1004</v>
      </c>
      <c r="C816">
        <v>0</v>
      </c>
      <c r="D816" t="s">
        <v>1177</v>
      </c>
      <c r="E816">
        <v>0</v>
      </c>
      <c r="F816" t="s">
        <v>1178</v>
      </c>
      <c r="G816" t="s">
        <v>2069</v>
      </c>
      <c r="H816">
        <v>0</v>
      </c>
      <c r="I816">
        <v>0</v>
      </c>
      <c r="J816" s="69"/>
      <c r="K816" t="s">
        <v>1571</v>
      </c>
    </row>
    <row r="817" spans="1:11" x14ac:dyDescent="0.25">
      <c r="A817" s="5" t="s">
        <v>1463</v>
      </c>
      <c r="B817" t="s">
        <v>1004</v>
      </c>
      <c r="C817">
        <v>0</v>
      </c>
      <c r="D817" t="s">
        <v>1169</v>
      </c>
      <c r="E817">
        <v>0</v>
      </c>
      <c r="F817" t="s">
        <v>1170</v>
      </c>
      <c r="G817" t="s">
        <v>2073</v>
      </c>
      <c r="H817">
        <v>0</v>
      </c>
      <c r="I817">
        <v>0</v>
      </c>
      <c r="J817" s="69"/>
      <c r="K817" t="s">
        <v>1571</v>
      </c>
    </row>
    <row r="818" spans="1:11" x14ac:dyDescent="0.25">
      <c r="A818" s="5" t="s">
        <v>1463</v>
      </c>
      <c r="B818" t="s">
        <v>1004</v>
      </c>
      <c r="C818">
        <v>0</v>
      </c>
      <c r="D818" t="s">
        <v>1169</v>
      </c>
      <c r="E818">
        <v>0</v>
      </c>
      <c r="F818" t="s">
        <v>1170</v>
      </c>
      <c r="G818" t="s">
        <v>2076</v>
      </c>
      <c r="H818">
        <v>0</v>
      </c>
      <c r="I818">
        <v>0</v>
      </c>
      <c r="J818" s="69"/>
      <c r="K818" t="s">
        <v>1571</v>
      </c>
    </row>
    <row r="819" spans="1:11" x14ac:dyDescent="0.25">
      <c r="A819" s="5" t="s">
        <v>1463</v>
      </c>
      <c r="B819" t="s">
        <v>1004</v>
      </c>
      <c r="C819">
        <v>0</v>
      </c>
      <c r="D819" t="s">
        <v>1904</v>
      </c>
      <c r="E819">
        <v>0</v>
      </c>
      <c r="F819" t="s">
        <v>1905</v>
      </c>
      <c r="G819" t="s">
        <v>2187</v>
      </c>
      <c r="H819">
        <v>0</v>
      </c>
      <c r="I819">
        <v>0</v>
      </c>
      <c r="J819" s="69"/>
      <c r="K819" t="s">
        <v>1571</v>
      </c>
    </row>
    <row r="820" spans="1:11" x14ac:dyDescent="0.25">
      <c r="A820" s="5" t="s">
        <v>1463</v>
      </c>
      <c r="B820" t="s">
        <v>1004</v>
      </c>
      <c r="C820">
        <v>0</v>
      </c>
      <c r="D820" t="s">
        <v>2188</v>
      </c>
      <c r="E820">
        <v>0</v>
      </c>
      <c r="F820" t="s">
        <v>2189</v>
      </c>
      <c r="G820" t="s">
        <v>2105</v>
      </c>
      <c r="H820">
        <v>0</v>
      </c>
      <c r="I820">
        <v>0</v>
      </c>
      <c r="J820" s="69"/>
      <c r="K820" t="s">
        <v>1571</v>
      </c>
    </row>
    <row r="821" spans="1:11" x14ac:dyDescent="0.25">
      <c r="A821" s="5" t="s">
        <v>1463</v>
      </c>
      <c r="B821" t="s">
        <v>1004</v>
      </c>
      <c r="C821">
        <v>0</v>
      </c>
      <c r="D821" t="s">
        <v>1593</v>
      </c>
      <c r="E821">
        <v>0</v>
      </c>
      <c r="F821" t="s">
        <v>1594</v>
      </c>
      <c r="G821" t="s">
        <v>2102</v>
      </c>
      <c r="H821">
        <v>0</v>
      </c>
      <c r="I821">
        <v>0</v>
      </c>
      <c r="J821" s="69"/>
      <c r="K821" t="s">
        <v>1571</v>
      </c>
    </row>
    <row r="822" spans="1:11" x14ac:dyDescent="0.25">
      <c r="A822" s="5" t="s">
        <v>1463</v>
      </c>
      <c r="B822" t="s">
        <v>1004</v>
      </c>
      <c r="C822">
        <v>0</v>
      </c>
      <c r="D822" t="s">
        <v>1169</v>
      </c>
      <c r="E822">
        <v>0</v>
      </c>
      <c r="F822" t="s">
        <v>1170</v>
      </c>
      <c r="G822" t="s">
        <v>2130</v>
      </c>
      <c r="H822">
        <v>0</v>
      </c>
      <c r="I822">
        <v>0</v>
      </c>
      <c r="J822" s="69"/>
      <c r="K822" t="s">
        <v>1571</v>
      </c>
    </row>
    <row r="823" spans="1:11" x14ac:dyDescent="0.25">
      <c r="A823" s="5" t="s">
        <v>1463</v>
      </c>
      <c r="B823" t="s">
        <v>1004</v>
      </c>
      <c r="C823">
        <v>0</v>
      </c>
      <c r="D823" t="s">
        <v>1155</v>
      </c>
      <c r="E823">
        <v>0</v>
      </c>
      <c r="F823" t="s">
        <v>1156</v>
      </c>
      <c r="G823" t="s">
        <v>2190</v>
      </c>
      <c r="H823">
        <v>0</v>
      </c>
      <c r="I823">
        <v>0</v>
      </c>
      <c r="J823" s="69"/>
      <c r="K823" t="s">
        <v>1571</v>
      </c>
    </row>
    <row r="824" spans="1:11" x14ac:dyDescent="0.25">
      <c r="A824" s="5" t="s">
        <v>1463</v>
      </c>
      <c r="B824" t="s">
        <v>1004</v>
      </c>
      <c r="C824">
        <v>0</v>
      </c>
      <c r="D824" t="s">
        <v>1009</v>
      </c>
      <c r="E824">
        <v>0</v>
      </c>
      <c r="F824" t="s">
        <v>1010</v>
      </c>
      <c r="G824" t="s">
        <v>2172</v>
      </c>
      <c r="H824">
        <v>0</v>
      </c>
      <c r="I824">
        <v>0</v>
      </c>
      <c r="J824" s="69"/>
      <c r="K824" t="s">
        <v>1571</v>
      </c>
    </row>
    <row r="825" spans="1:11" x14ac:dyDescent="0.25">
      <c r="A825" s="5" t="s">
        <v>1463</v>
      </c>
      <c r="B825" t="s">
        <v>1004</v>
      </c>
      <c r="C825">
        <v>0</v>
      </c>
      <c r="D825" t="s">
        <v>1179</v>
      </c>
      <c r="E825">
        <v>0</v>
      </c>
      <c r="F825" t="s">
        <v>1180</v>
      </c>
      <c r="G825" t="s">
        <v>2191</v>
      </c>
      <c r="H825">
        <v>0</v>
      </c>
      <c r="I825">
        <v>0</v>
      </c>
      <c r="J825" s="69"/>
      <c r="K825" t="s">
        <v>1571</v>
      </c>
    </row>
    <row r="826" spans="1:11" x14ac:dyDescent="0.25">
      <c r="A826" s="5" t="s">
        <v>1463</v>
      </c>
      <c r="B826" t="s">
        <v>1004</v>
      </c>
      <c r="C826">
        <v>0</v>
      </c>
      <c r="D826" t="s">
        <v>1181</v>
      </c>
      <c r="E826">
        <v>0</v>
      </c>
      <c r="F826" t="s">
        <v>1182</v>
      </c>
      <c r="G826" t="s">
        <v>2191</v>
      </c>
      <c r="H826">
        <v>0</v>
      </c>
      <c r="I826">
        <v>0</v>
      </c>
      <c r="J826" s="69"/>
      <c r="K826" t="s">
        <v>1571</v>
      </c>
    </row>
    <row r="827" spans="1:11" x14ac:dyDescent="0.25">
      <c r="A827" s="5" t="s">
        <v>1463</v>
      </c>
      <c r="B827" t="s">
        <v>1004</v>
      </c>
      <c r="C827">
        <v>0</v>
      </c>
      <c r="D827" t="s">
        <v>1183</v>
      </c>
      <c r="E827">
        <v>0</v>
      </c>
      <c r="F827" t="s">
        <v>1184</v>
      </c>
      <c r="G827" t="s">
        <v>2192</v>
      </c>
      <c r="H827">
        <v>0</v>
      </c>
      <c r="I827">
        <v>0</v>
      </c>
      <c r="J827" s="69"/>
      <c r="K827" t="s">
        <v>1571</v>
      </c>
    </row>
    <row r="828" spans="1:11" x14ac:dyDescent="0.25">
      <c r="A828" s="5" t="s">
        <v>1463</v>
      </c>
      <c r="B828" t="s">
        <v>1004</v>
      </c>
      <c r="C828">
        <v>0</v>
      </c>
      <c r="D828" t="s">
        <v>1181</v>
      </c>
      <c r="E828">
        <v>0</v>
      </c>
      <c r="F828" t="s">
        <v>1182</v>
      </c>
      <c r="G828" t="s">
        <v>2192</v>
      </c>
      <c r="H828">
        <v>0</v>
      </c>
      <c r="I828">
        <v>0</v>
      </c>
      <c r="J828" s="69"/>
      <c r="K828" t="s">
        <v>1571</v>
      </c>
    </row>
    <row r="829" spans="1:11" x14ac:dyDescent="0.25">
      <c r="A829" s="5" t="s">
        <v>1463</v>
      </c>
      <c r="B829" t="s">
        <v>1185</v>
      </c>
      <c r="C829">
        <v>968999</v>
      </c>
      <c r="D829" t="s">
        <v>1186</v>
      </c>
      <c r="E829">
        <v>0</v>
      </c>
      <c r="F829" t="s">
        <v>1187</v>
      </c>
      <c r="G829" t="s">
        <v>1571</v>
      </c>
      <c r="H829">
        <v>1000000</v>
      </c>
      <c r="I829">
        <v>0</v>
      </c>
      <c r="J829" s="69"/>
      <c r="K829" t="s">
        <v>1571</v>
      </c>
    </row>
    <row r="830" spans="1:11" x14ac:dyDescent="0.25">
      <c r="A830" s="5" t="s">
        <v>1463</v>
      </c>
      <c r="B830" t="s">
        <v>1188</v>
      </c>
      <c r="C830">
        <v>99464</v>
      </c>
      <c r="D830" t="s">
        <v>1189</v>
      </c>
      <c r="E830">
        <v>0</v>
      </c>
      <c r="F830" t="s">
        <v>1190</v>
      </c>
      <c r="G830" t="s">
        <v>1571</v>
      </c>
      <c r="H830">
        <v>99999</v>
      </c>
      <c r="I830">
        <v>0</v>
      </c>
      <c r="J830" s="69"/>
      <c r="K830" t="s">
        <v>1571</v>
      </c>
    </row>
    <row r="831" spans="1:11" x14ac:dyDescent="0.25">
      <c r="A831" s="5" t="s">
        <v>1463</v>
      </c>
      <c r="B831" t="s">
        <v>1191</v>
      </c>
      <c r="C831">
        <v>1000000</v>
      </c>
      <c r="D831" t="s">
        <v>1192</v>
      </c>
      <c r="E831">
        <v>0</v>
      </c>
      <c r="F831" t="s">
        <v>1193</v>
      </c>
      <c r="G831" t="s">
        <v>1571</v>
      </c>
      <c r="H831">
        <v>1000000</v>
      </c>
      <c r="I831">
        <v>0</v>
      </c>
      <c r="J831" s="69"/>
      <c r="K831" t="s">
        <v>1571</v>
      </c>
    </row>
    <row r="832" spans="1:11" x14ac:dyDescent="0.25">
      <c r="A832" s="5" t="s">
        <v>1463</v>
      </c>
      <c r="B832" t="s">
        <v>1194</v>
      </c>
      <c r="C832">
        <v>18484</v>
      </c>
      <c r="D832" t="s">
        <v>1195</v>
      </c>
      <c r="E832">
        <v>0</v>
      </c>
      <c r="F832" t="s">
        <v>1196</v>
      </c>
      <c r="G832" t="s">
        <v>1571</v>
      </c>
      <c r="H832">
        <v>20000</v>
      </c>
      <c r="I832">
        <v>0</v>
      </c>
      <c r="J832" s="69"/>
      <c r="K832" t="s">
        <v>1571</v>
      </c>
    </row>
    <row r="833" spans="1:11" x14ac:dyDescent="0.25">
      <c r="A833" s="5" t="s">
        <v>1463</v>
      </c>
      <c r="B833" t="s">
        <v>1197</v>
      </c>
      <c r="C833">
        <v>99999</v>
      </c>
      <c r="D833" t="s">
        <v>1198</v>
      </c>
      <c r="E833">
        <v>0</v>
      </c>
      <c r="F833" t="s">
        <v>1199</v>
      </c>
      <c r="G833" t="s">
        <v>1571</v>
      </c>
      <c r="H833">
        <v>99999</v>
      </c>
      <c r="I833">
        <v>0</v>
      </c>
      <c r="J833" s="69"/>
      <c r="K833" t="s">
        <v>1571</v>
      </c>
    </row>
    <row r="834" spans="1:11" x14ac:dyDescent="0.25">
      <c r="A834" s="5" t="s">
        <v>1463</v>
      </c>
      <c r="B834" t="s">
        <v>1200</v>
      </c>
      <c r="C834">
        <v>20000</v>
      </c>
      <c r="D834" t="s">
        <v>1201</v>
      </c>
      <c r="E834">
        <v>0</v>
      </c>
      <c r="F834" t="s">
        <v>1202</v>
      </c>
      <c r="G834" t="s">
        <v>1571</v>
      </c>
      <c r="H834">
        <v>20000</v>
      </c>
      <c r="I834">
        <v>0</v>
      </c>
      <c r="J834" s="69"/>
      <c r="K834" t="s">
        <v>1571</v>
      </c>
    </row>
    <row r="835" spans="1:11" x14ac:dyDescent="0.25">
      <c r="A835" s="5" t="s">
        <v>1463</v>
      </c>
      <c r="B835" t="s">
        <v>1203</v>
      </c>
      <c r="C835">
        <v>7603</v>
      </c>
      <c r="D835" t="s">
        <v>1204</v>
      </c>
      <c r="E835">
        <v>0</v>
      </c>
      <c r="F835" t="s">
        <v>65</v>
      </c>
      <c r="G835" t="s">
        <v>1934</v>
      </c>
      <c r="H835">
        <v>10000</v>
      </c>
      <c r="I835">
        <v>0</v>
      </c>
      <c r="J835" s="69"/>
      <c r="K835" t="s">
        <v>1571</v>
      </c>
    </row>
    <row r="836" spans="1:11" x14ac:dyDescent="0.25">
      <c r="A836" s="5" t="s">
        <v>1463</v>
      </c>
      <c r="B836" t="s">
        <v>1203</v>
      </c>
      <c r="C836">
        <v>7603</v>
      </c>
      <c r="D836" t="s">
        <v>1205</v>
      </c>
      <c r="E836">
        <v>0</v>
      </c>
      <c r="F836" t="s">
        <v>68</v>
      </c>
      <c r="G836" t="s">
        <v>1935</v>
      </c>
      <c r="H836">
        <v>10000</v>
      </c>
      <c r="I836">
        <v>0</v>
      </c>
      <c r="J836" s="69"/>
      <c r="K836" t="s">
        <v>1571</v>
      </c>
    </row>
    <row r="837" spans="1:11" x14ac:dyDescent="0.25">
      <c r="A837" s="5" t="s">
        <v>1463</v>
      </c>
      <c r="B837" t="s">
        <v>1203</v>
      </c>
      <c r="C837">
        <v>7603</v>
      </c>
      <c r="D837" t="s">
        <v>1206</v>
      </c>
      <c r="E837">
        <v>0</v>
      </c>
      <c r="F837" t="s">
        <v>70</v>
      </c>
      <c r="G837" t="s">
        <v>1936</v>
      </c>
      <c r="H837">
        <v>10000</v>
      </c>
      <c r="I837">
        <v>0</v>
      </c>
      <c r="J837" s="69"/>
      <c r="K837" t="s">
        <v>1571</v>
      </c>
    </row>
    <row r="838" spans="1:11" x14ac:dyDescent="0.25">
      <c r="A838" s="5" t="s">
        <v>1463</v>
      </c>
      <c r="B838" t="s">
        <v>1203</v>
      </c>
      <c r="C838">
        <v>18551</v>
      </c>
      <c r="D838" t="s">
        <v>1220</v>
      </c>
      <c r="E838">
        <v>0</v>
      </c>
      <c r="F838" t="s">
        <v>1221</v>
      </c>
      <c r="G838" t="s">
        <v>1571</v>
      </c>
      <c r="H838">
        <v>20000</v>
      </c>
      <c r="I838">
        <v>0</v>
      </c>
      <c r="J838" s="69"/>
      <c r="K838" t="s">
        <v>1571</v>
      </c>
    </row>
    <row r="839" spans="1:11" x14ac:dyDescent="0.25">
      <c r="A839" s="5" t="s">
        <v>1463</v>
      </c>
      <c r="B839" t="s">
        <v>1203</v>
      </c>
      <c r="C839">
        <v>8397</v>
      </c>
      <c r="D839" t="s">
        <v>1207</v>
      </c>
      <c r="E839">
        <v>0</v>
      </c>
      <c r="F839" t="s">
        <v>1208</v>
      </c>
      <c r="G839" t="s">
        <v>1943</v>
      </c>
      <c r="H839">
        <v>10000</v>
      </c>
      <c r="I839">
        <v>0</v>
      </c>
      <c r="J839" s="69"/>
      <c r="K839" t="s">
        <v>1571</v>
      </c>
    </row>
    <row r="840" spans="1:11" x14ac:dyDescent="0.25">
      <c r="A840" s="5" t="s">
        <v>1463</v>
      </c>
      <c r="B840" t="s">
        <v>1203</v>
      </c>
      <c r="C840">
        <v>8401</v>
      </c>
      <c r="D840" t="s">
        <v>1209</v>
      </c>
      <c r="E840">
        <v>0</v>
      </c>
      <c r="F840" t="s">
        <v>74</v>
      </c>
      <c r="G840">
        <v>1016224604718</v>
      </c>
      <c r="H840">
        <v>10000</v>
      </c>
      <c r="I840">
        <v>0</v>
      </c>
      <c r="J840" s="69"/>
      <c r="K840" t="s">
        <v>1571</v>
      </c>
    </row>
    <row r="841" spans="1:11" x14ac:dyDescent="0.25">
      <c r="A841" s="5" t="s">
        <v>1463</v>
      </c>
      <c r="B841" t="s">
        <v>1203</v>
      </c>
      <c r="C841">
        <v>8401</v>
      </c>
      <c r="D841" t="s">
        <v>1210</v>
      </c>
      <c r="E841">
        <v>0</v>
      </c>
      <c r="F841" t="s">
        <v>76</v>
      </c>
      <c r="G841">
        <v>1016224604781</v>
      </c>
      <c r="H841">
        <v>10000</v>
      </c>
      <c r="I841">
        <v>0</v>
      </c>
      <c r="J841" s="69"/>
      <c r="K841" t="s">
        <v>1571</v>
      </c>
    </row>
    <row r="842" spans="1:11" x14ac:dyDescent="0.25">
      <c r="A842" s="5" t="s">
        <v>1463</v>
      </c>
      <c r="B842" t="s">
        <v>1203</v>
      </c>
      <c r="C842">
        <v>8401</v>
      </c>
      <c r="D842" t="s">
        <v>1211</v>
      </c>
      <c r="E842">
        <v>0</v>
      </c>
      <c r="F842" t="s">
        <v>78</v>
      </c>
      <c r="G842">
        <v>1016224601397</v>
      </c>
      <c r="H842">
        <v>10000</v>
      </c>
      <c r="I842">
        <v>0</v>
      </c>
      <c r="J842" s="69"/>
      <c r="K842" t="s">
        <v>1571</v>
      </c>
    </row>
    <row r="843" spans="1:11" x14ac:dyDescent="0.25">
      <c r="A843" s="5" t="s">
        <v>1463</v>
      </c>
      <c r="B843" t="s">
        <v>1203</v>
      </c>
      <c r="C843">
        <v>8401</v>
      </c>
      <c r="D843" t="s">
        <v>1212</v>
      </c>
      <c r="E843">
        <v>0</v>
      </c>
      <c r="F843" t="s">
        <v>80</v>
      </c>
      <c r="G843">
        <v>1016224605410</v>
      </c>
      <c r="H843">
        <v>10000</v>
      </c>
      <c r="I843">
        <v>0</v>
      </c>
      <c r="J843" s="69"/>
      <c r="K843" t="s">
        <v>1571</v>
      </c>
    </row>
    <row r="844" spans="1:11" x14ac:dyDescent="0.25">
      <c r="A844" s="5" t="s">
        <v>1463</v>
      </c>
      <c r="B844" t="s">
        <v>1203</v>
      </c>
      <c r="C844">
        <v>8401</v>
      </c>
      <c r="D844" t="s">
        <v>1213</v>
      </c>
      <c r="E844">
        <v>0</v>
      </c>
      <c r="F844" t="s">
        <v>82</v>
      </c>
      <c r="G844" t="s">
        <v>1944</v>
      </c>
      <c r="H844">
        <v>10000</v>
      </c>
      <c r="I844">
        <v>0</v>
      </c>
      <c r="J844" s="69"/>
      <c r="K844" t="s">
        <v>1571</v>
      </c>
    </row>
    <row r="845" spans="1:11" x14ac:dyDescent="0.25">
      <c r="A845" s="5" t="s">
        <v>1463</v>
      </c>
      <c r="B845" t="s">
        <v>1203</v>
      </c>
      <c r="C845">
        <v>8401</v>
      </c>
      <c r="D845" t="s">
        <v>1214</v>
      </c>
      <c r="E845">
        <v>0</v>
      </c>
      <c r="F845" t="s">
        <v>84</v>
      </c>
      <c r="G845">
        <v>31365102334</v>
      </c>
      <c r="H845">
        <v>10000</v>
      </c>
      <c r="I845">
        <v>0</v>
      </c>
      <c r="J845" s="69"/>
      <c r="K845" t="s">
        <v>1571</v>
      </c>
    </row>
    <row r="846" spans="1:11" x14ac:dyDescent="0.25">
      <c r="A846" s="5" t="s">
        <v>1463</v>
      </c>
      <c r="B846" t="s">
        <v>1203</v>
      </c>
      <c r="C846">
        <v>8401</v>
      </c>
      <c r="D846" t="s">
        <v>1215</v>
      </c>
      <c r="E846">
        <v>0</v>
      </c>
      <c r="F846" t="s">
        <v>921</v>
      </c>
      <c r="G846">
        <v>916224603882</v>
      </c>
      <c r="H846">
        <v>10000</v>
      </c>
      <c r="I846">
        <v>0</v>
      </c>
      <c r="J846" s="69"/>
      <c r="K846" t="s">
        <v>1571</v>
      </c>
    </row>
    <row r="847" spans="1:11" x14ac:dyDescent="0.25">
      <c r="A847" s="5" t="s">
        <v>1463</v>
      </c>
      <c r="B847" t="s">
        <v>1203</v>
      </c>
      <c r="C847">
        <v>8401</v>
      </c>
      <c r="D847" t="s">
        <v>1216</v>
      </c>
      <c r="E847">
        <v>0</v>
      </c>
      <c r="F847" t="s">
        <v>88</v>
      </c>
      <c r="G847" t="s">
        <v>1945</v>
      </c>
      <c r="H847">
        <v>10000</v>
      </c>
      <c r="I847">
        <v>0</v>
      </c>
      <c r="J847" s="69"/>
      <c r="K847" t="s">
        <v>1571</v>
      </c>
    </row>
    <row r="848" spans="1:11" x14ac:dyDescent="0.25">
      <c r="A848" s="5" t="s">
        <v>1463</v>
      </c>
      <c r="B848" t="s">
        <v>1203</v>
      </c>
      <c r="C848">
        <v>8401</v>
      </c>
      <c r="D848" t="s">
        <v>1217</v>
      </c>
      <c r="E848">
        <v>0</v>
      </c>
      <c r="F848" t="s">
        <v>90</v>
      </c>
      <c r="G848">
        <v>1016240000085</v>
      </c>
      <c r="H848">
        <v>10000</v>
      </c>
      <c r="I848">
        <v>0</v>
      </c>
      <c r="J848" s="69"/>
      <c r="K848" t="s">
        <v>1571</v>
      </c>
    </row>
    <row r="849" spans="1:11" x14ac:dyDescent="0.25">
      <c r="A849" s="5" t="s">
        <v>1463</v>
      </c>
      <c r="B849" t="s">
        <v>1203</v>
      </c>
      <c r="C849">
        <v>8401</v>
      </c>
      <c r="D849" t="s">
        <v>1218</v>
      </c>
      <c r="E849">
        <v>0</v>
      </c>
      <c r="F849" t="s">
        <v>92</v>
      </c>
      <c r="G849">
        <v>90137418742</v>
      </c>
      <c r="H849">
        <v>10000</v>
      </c>
      <c r="I849">
        <v>0</v>
      </c>
      <c r="J849" s="69"/>
      <c r="K849" t="s">
        <v>1571</v>
      </c>
    </row>
    <row r="850" spans="1:11" x14ac:dyDescent="0.25">
      <c r="A850" s="5" t="s">
        <v>1463</v>
      </c>
      <c r="B850" t="s">
        <v>1203</v>
      </c>
      <c r="C850">
        <v>8953</v>
      </c>
      <c r="D850" t="s">
        <v>1219</v>
      </c>
      <c r="E850">
        <v>0</v>
      </c>
      <c r="F850" t="s">
        <v>94</v>
      </c>
      <c r="G850">
        <v>56240136</v>
      </c>
      <c r="H850">
        <v>10000</v>
      </c>
      <c r="I850">
        <v>0</v>
      </c>
      <c r="J850" s="69"/>
      <c r="K850" t="s">
        <v>1571</v>
      </c>
    </row>
    <row r="851" spans="1:11" x14ac:dyDescent="0.25">
      <c r="A851" s="5" t="s">
        <v>1463</v>
      </c>
      <c r="B851" t="s">
        <v>1222</v>
      </c>
      <c r="C851">
        <v>18460</v>
      </c>
      <c r="D851" t="s">
        <v>1223</v>
      </c>
      <c r="E851">
        <v>0</v>
      </c>
      <c r="F851" t="s">
        <v>1224</v>
      </c>
      <c r="G851" t="s">
        <v>1571</v>
      </c>
      <c r="H851">
        <v>20000</v>
      </c>
      <c r="I851">
        <v>0</v>
      </c>
      <c r="J851" s="69"/>
      <c r="K851" t="s">
        <v>1571</v>
      </c>
    </row>
    <row r="852" spans="1:11" x14ac:dyDescent="0.25">
      <c r="A852" s="5" t="s">
        <v>1463</v>
      </c>
      <c r="B852" t="s">
        <v>1222</v>
      </c>
      <c r="C852">
        <v>8460</v>
      </c>
      <c r="D852" t="s">
        <v>1207</v>
      </c>
      <c r="E852">
        <v>0</v>
      </c>
      <c r="F852" t="s">
        <v>1208</v>
      </c>
      <c r="G852" t="s">
        <v>1952</v>
      </c>
      <c r="H852">
        <v>10000</v>
      </c>
      <c r="I852">
        <v>0</v>
      </c>
      <c r="J852" s="69"/>
      <c r="K852" t="s">
        <v>1571</v>
      </c>
    </row>
    <row r="853" spans="1:11" x14ac:dyDescent="0.25">
      <c r="A853" s="5" t="s">
        <v>1463</v>
      </c>
      <c r="B853" t="s">
        <v>1222</v>
      </c>
      <c r="C853">
        <v>8460</v>
      </c>
      <c r="D853" t="s">
        <v>1209</v>
      </c>
      <c r="E853">
        <v>0</v>
      </c>
      <c r="F853" t="s">
        <v>74</v>
      </c>
      <c r="G853">
        <v>1316224602741</v>
      </c>
      <c r="H853">
        <v>10000</v>
      </c>
      <c r="I853">
        <v>0</v>
      </c>
      <c r="J853" s="69"/>
      <c r="K853" t="s">
        <v>1571</v>
      </c>
    </row>
    <row r="854" spans="1:11" x14ac:dyDescent="0.25">
      <c r="A854" s="5" t="s">
        <v>1463</v>
      </c>
      <c r="B854" t="s">
        <v>1222</v>
      </c>
      <c r="C854">
        <v>8460</v>
      </c>
      <c r="D854" t="s">
        <v>1214</v>
      </c>
      <c r="E854">
        <v>0</v>
      </c>
      <c r="F854" t="s">
        <v>84</v>
      </c>
      <c r="G854">
        <v>1316224600504</v>
      </c>
      <c r="H854">
        <v>10000</v>
      </c>
      <c r="I854">
        <v>0</v>
      </c>
      <c r="J854" s="69"/>
      <c r="K854" t="s">
        <v>1571</v>
      </c>
    </row>
    <row r="855" spans="1:11" x14ac:dyDescent="0.25">
      <c r="A855" s="5" t="s">
        <v>1463</v>
      </c>
      <c r="B855" t="s">
        <v>1222</v>
      </c>
      <c r="C855">
        <v>8460</v>
      </c>
      <c r="D855" t="s">
        <v>1210</v>
      </c>
      <c r="E855">
        <v>0</v>
      </c>
      <c r="F855" t="s">
        <v>76</v>
      </c>
      <c r="G855">
        <v>1316224601585</v>
      </c>
      <c r="H855">
        <v>10000</v>
      </c>
      <c r="I855">
        <v>0</v>
      </c>
      <c r="J855" s="69"/>
      <c r="K855" t="s">
        <v>1571</v>
      </c>
    </row>
    <row r="856" spans="1:11" x14ac:dyDescent="0.25">
      <c r="A856" s="5" t="s">
        <v>1463</v>
      </c>
      <c r="B856" t="s">
        <v>1222</v>
      </c>
      <c r="C856">
        <v>8460</v>
      </c>
      <c r="D856" t="s">
        <v>1211</v>
      </c>
      <c r="E856">
        <v>0</v>
      </c>
      <c r="F856" t="s">
        <v>78</v>
      </c>
      <c r="G856" t="s">
        <v>1953</v>
      </c>
      <c r="H856">
        <v>10000</v>
      </c>
      <c r="I856">
        <v>0</v>
      </c>
      <c r="J856" s="69"/>
      <c r="K856" t="s">
        <v>1571</v>
      </c>
    </row>
    <row r="857" spans="1:11" x14ac:dyDescent="0.25">
      <c r="A857" s="5" t="s">
        <v>1463</v>
      </c>
      <c r="B857" t="s">
        <v>1222</v>
      </c>
      <c r="C857">
        <v>8460</v>
      </c>
      <c r="D857" t="s">
        <v>1212</v>
      </c>
      <c r="E857">
        <v>0</v>
      </c>
      <c r="F857" t="s">
        <v>80</v>
      </c>
      <c r="G857">
        <v>1316224602455</v>
      </c>
      <c r="H857">
        <v>10000</v>
      </c>
      <c r="I857">
        <v>0</v>
      </c>
      <c r="J857" s="69"/>
      <c r="K857" t="s">
        <v>1571</v>
      </c>
    </row>
    <row r="858" spans="1:11" x14ac:dyDescent="0.25">
      <c r="A858" s="5" t="s">
        <v>1463</v>
      </c>
      <c r="B858" t="s">
        <v>1222</v>
      </c>
      <c r="C858">
        <v>8460</v>
      </c>
      <c r="D858" t="s">
        <v>1213</v>
      </c>
      <c r="E858">
        <v>0</v>
      </c>
      <c r="F858" t="s">
        <v>82</v>
      </c>
      <c r="G858" t="s">
        <v>1954</v>
      </c>
      <c r="H858">
        <v>10000</v>
      </c>
      <c r="I858">
        <v>0</v>
      </c>
      <c r="J858" s="69"/>
      <c r="K858" t="s">
        <v>1571</v>
      </c>
    </row>
    <row r="859" spans="1:11" x14ac:dyDescent="0.25">
      <c r="A859" s="5" t="s">
        <v>1463</v>
      </c>
      <c r="B859" t="s">
        <v>1222</v>
      </c>
      <c r="C859">
        <v>8460</v>
      </c>
      <c r="D859" t="s">
        <v>1215</v>
      </c>
      <c r="E859">
        <v>0</v>
      </c>
      <c r="F859" t="s">
        <v>921</v>
      </c>
      <c r="G859" t="s">
        <v>1955</v>
      </c>
      <c r="H859">
        <v>10000</v>
      </c>
      <c r="I859">
        <v>0</v>
      </c>
      <c r="J859" s="69"/>
      <c r="K859" t="s">
        <v>1571</v>
      </c>
    </row>
    <row r="860" spans="1:11" x14ac:dyDescent="0.25">
      <c r="A860" s="5" t="s">
        <v>1463</v>
      </c>
      <c r="B860" t="s">
        <v>1222</v>
      </c>
      <c r="C860">
        <v>8460</v>
      </c>
      <c r="D860" t="s">
        <v>1216</v>
      </c>
      <c r="E860">
        <v>0</v>
      </c>
      <c r="F860" t="s">
        <v>88</v>
      </c>
      <c r="G860" t="s">
        <v>1956</v>
      </c>
      <c r="H860">
        <v>10000</v>
      </c>
      <c r="I860">
        <v>0</v>
      </c>
      <c r="J860" s="69"/>
      <c r="K860" t="s">
        <v>1571</v>
      </c>
    </row>
    <row r="861" spans="1:11" x14ac:dyDescent="0.25">
      <c r="A861" s="5" t="s">
        <v>1463</v>
      </c>
      <c r="B861" t="s">
        <v>1222</v>
      </c>
      <c r="C861">
        <v>8460</v>
      </c>
      <c r="D861" t="s">
        <v>1204</v>
      </c>
      <c r="E861">
        <v>0</v>
      </c>
      <c r="F861" t="s">
        <v>65</v>
      </c>
      <c r="G861" t="s">
        <v>1957</v>
      </c>
      <c r="H861">
        <v>10000</v>
      </c>
      <c r="I861">
        <v>0</v>
      </c>
      <c r="J861" s="69"/>
      <c r="K861" t="s">
        <v>1571</v>
      </c>
    </row>
    <row r="862" spans="1:11" x14ac:dyDescent="0.25">
      <c r="A862" s="5" t="s">
        <v>1463</v>
      </c>
      <c r="B862" t="s">
        <v>1222</v>
      </c>
      <c r="C862">
        <v>8460</v>
      </c>
      <c r="D862" t="s">
        <v>1205</v>
      </c>
      <c r="E862">
        <v>0</v>
      </c>
      <c r="F862" t="s">
        <v>68</v>
      </c>
      <c r="G862" t="s">
        <v>1958</v>
      </c>
      <c r="H862">
        <v>10000</v>
      </c>
      <c r="I862">
        <v>0</v>
      </c>
      <c r="J862" s="69"/>
      <c r="K862" t="s">
        <v>1571</v>
      </c>
    </row>
    <row r="863" spans="1:11" x14ac:dyDescent="0.25">
      <c r="A863" s="5" t="s">
        <v>1463</v>
      </c>
      <c r="B863" t="s">
        <v>1222</v>
      </c>
      <c r="C863">
        <v>8460</v>
      </c>
      <c r="D863" t="s">
        <v>1206</v>
      </c>
      <c r="E863">
        <v>0</v>
      </c>
      <c r="F863" t="s">
        <v>70</v>
      </c>
      <c r="G863" t="s">
        <v>1959</v>
      </c>
      <c r="H863">
        <v>10000</v>
      </c>
      <c r="I863">
        <v>0</v>
      </c>
      <c r="J863" s="69"/>
      <c r="K863" t="s">
        <v>1571</v>
      </c>
    </row>
    <row r="864" spans="1:11" x14ac:dyDescent="0.25">
      <c r="A864" s="5" t="s">
        <v>1463</v>
      </c>
      <c r="B864" t="s">
        <v>1222</v>
      </c>
      <c r="C864">
        <v>8460</v>
      </c>
      <c r="D864" t="s">
        <v>1217</v>
      </c>
      <c r="E864">
        <v>0</v>
      </c>
      <c r="F864" t="s">
        <v>90</v>
      </c>
      <c r="G864">
        <v>1316240000037</v>
      </c>
      <c r="H864">
        <v>10000</v>
      </c>
      <c r="I864">
        <v>0</v>
      </c>
      <c r="J864" s="69"/>
      <c r="K864" t="s">
        <v>1571</v>
      </c>
    </row>
    <row r="865" spans="1:11" x14ac:dyDescent="0.25">
      <c r="A865" s="5" t="s">
        <v>1463</v>
      </c>
      <c r="B865" t="s">
        <v>1222</v>
      </c>
      <c r="C865">
        <v>8460</v>
      </c>
      <c r="D865" t="s">
        <v>1218</v>
      </c>
      <c r="E865">
        <v>0</v>
      </c>
      <c r="F865" t="s">
        <v>92</v>
      </c>
      <c r="G865">
        <v>1316201623251</v>
      </c>
      <c r="H865">
        <v>10000</v>
      </c>
      <c r="I865">
        <v>0</v>
      </c>
      <c r="J865" s="69"/>
      <c r="K865" t="s">
        <v>1571</v>
      </c>
    </row>
    <row r="866" spans="1:11" x14ac:dyDescent="0.25">
      <c r="A866" s="5" t="s">
        <v>1463</v>
      </c>
      <c r="B866" t="s">
        <v>1222</v>
      </c>
      <c r="C866">
        <v>8460</v>
      </c>
      <c r="D866" t="s">
        <v>1219</v>
      </c>
      <c r="E866">
        <v>0</v>
      </c>
      <c r="F866" t="s">
        <v>94</v>
      </c>
      <c r="G866">
        <v>56240273</v>
      </c>
      <c r="H866">
        <v>10000</v>
      </c>
      <c r="I866">
        <v>0</v>
      </c>
      <c r="J866" s="69"/>
      <c r="K866" t="s">
        <v>1571</v>
      </c>
    </row>
    <row r="867" spans="1:11" x14ac:dyDescent="0.25">
      <c r="A867" s="5" t="s">
        <v>1463</v>
      </c>
      <c r="B867" t="s">
        <v>1225</v>
      </c>
      <c r="C867">
        <v>-26</v>
      </c>
      <c r="D867" t="s">
        <v>1232</v>
      </c>
      <c r="E867">
        <v>231</v>
      </c>
      <c r="F867" t="s">
        <v>2193</v>
      </c>
      <c r="G867" t="s">
        <v>1571</v>
      </c>
      <c r="H867">
        <v>14</v>
      </c>
      <c r="I867">
        <v>0</v>
      </c>
      <c r="J867" s="69">
        <v>46183</v>
      </c>
      <c r="K867" t="s">
        <v>1571</v>
      </c>
    </row>
    <row r="868" spans="1:11" x14ac:dyDescent="0.25">
      <c r="A868" s="5" t="s">
        <v>1463</v>
      </c>
      <c r="B868" t="s">
        <v>1225</v>
      </c>
      <c r="C868">
        <v>-12</v>
      </c>
      <c r="D868" t="s">
        <v>1232</v>
      </c>
      <c r="E868">
        <v>227</v>
      </c>
      <c r="F868" t="s">
        <v>2194</v>
      </c>
      <c r="G868" t="s">
        <v>1571</v>
      </c>
      <c r="H868">
        <v>28</v>
      </c>
      <c r="I868">
        <v>28</v>
      </c>
      <c r="J868" s="69">
        <v>46197</v>
      </c>
      <c r="K868" t="s">
        <v>1571</v>
      </c>
    </row>
    <row r="869" spans="1:11" x14ac:dyDescent="0.25">
      <c r="A869" s="5" t="s">
        <v>22</v>
      </c>
      <c r="B869" t="s">
        <v>1225</v>
      </c>
      <c r="C869">
        <v>-4</v>
      </c>
      <c r="D869" t="s">
        <v>1233</v>
      </c>
      <c r="E869">
        <v>0</v>
      </c>
      <c r="F869" t="s">
        <v>1234</v>
      </c>
      <c r="G869" t="s">
        <v>1571</v>
      </c>
      <c r="H869">
        <v>28</v>
      </c>
      <c r="I869">
        <v>0</v>
      </c>
      <c r="J869" s="69">
        <v>46205</v>
      </c>
      <c r="K869" t="s">
        <v>1571</v>
      </c>
    </row>
    <row r="870" spans="1:11" x14ac:dyDescent="0.25">
      <c r="A870" s="5" t="s">
        <v>1463</v>
      </c>
      <c r="B870" t="s">
        <v>1225</v>
      </c>
      <c r="C870">
        <v>4</v>
      </c>
      <c r="D870" t="s">
        <v>1232</v>
      </c>
      <c r="E870">
        <v>226</v>
      </c>
      <c r="F870" t="s">
        <v>2195</v>
      </c>
      <c r="G870" t="s">
        <v>1571</v>
      </c>
      <c r="H870">
        <v>28</v>
      </c>
      <c r="I870">
        <v>100</v>
      </c>
      <c r="J870" s="69">
        <v>46213</v>
      </c>
      <c r="K870" t="s">
        <v>1571</v>
      </c>
    </row>
    <row r="871" spans="1:11" x14ac:dyDescent="0.25">
      <c r="A871" s="5" t="s">
        <v>22</v>
      </c>
      <c r="B871" t="s">
        <v>1225</v>
      </c>
      <c r="C871">
        <v>4</v>
      </c>
      <c r="D871" t="s">
        <v>1238</v>
      </c>
      <c r="E871">
        <v>0</v>
      </c>
      <c r="F871" t="s">
        <v>1239</v>
      </c>
      <c r="G871" t="s">
        <v>1571</v>
      </c>
      <c r="H871">
        <v>365</v>
      </c>
      <c r="I871">
        <v>0</v>
      </c>
      <c r="J871" s="69">
        <v>46213</v>
      </c>
      <c r="K871" t="s">
        <v>1571</v>
      </c>
    </row>
    <row r="872" spans="1:11" x14ac:dyDescent="0.25">
      <c r="A872" s="5" t="s">
        <v>22</v>
      </c>
      <c r="B872" t="s">
        <v>1225</v>
      </c>
      <c r="C872">
        <v>8</v>
      </c>
      <c r="D872" t="s">
        <v>1240</v>
      </c>
      <c r="E872">
        <v>0</v>
      </c>
      <c r="F872" t="s">
        <v>1241</v>
      </c>
      <c r="G872">
        <v>2974</v>
      </c>
      <c r="H872">
        <v>0</v>
      </c>
      <c r="I872">
        <v>0</v>
      </c>
      <c r="J872" s="69">
        <v>46217</v>
      </c>
      <c r="K872" t="s">
        <v>1571</v>
      </c>
    </row>
    <row r="873" spans="1:11" x14ac:dyDescent="0.25">
      <c r="A873" s="5" t="s">
        <v>22</v>
      </c>
      <c r="B873" t="s">
        <v>1225</v>
      </c>
      <c r="C873">
        <v>8</v>
      </c>
      <c r="D873" t="s">
        <v>1242</v>
      </c>
      <c r="E873">
        <v>0</v>
      </c>
      <c r="F873" t="s">
        <v>1243</v>
      </c>
      <c r="G873">
        <v>2967</v>
      </c>
      <c r="H873">
        <v>0</v>
      </c>
      <c r="I873">
        <v>0</v>
      </c>
      <c r="J873" s="69">
        <v>46217</v>
      </c>
      <c r="K873" t="s">
        <v>1571</v>
      </c>
    </row>
    <row r="874" spans="1:11" x14ac:dyDescent="0.25">
      <c r="A874" s="5" t="s">
        <v>22</v>
      </c>
      <c r="B874" t="s">
        <v>1225</v>
      </c>
      <c r="C874">
        <v>8</v>
      </c>
      <c r="D874" t="s">
        <v>1244</v>
      </c>
      <c r="E874">
        <v>0</v>
      </c>
      <c r="F874" t="s">
        <v>1245</v>
      </c>
      <c r="G874">
        <v>2986</v>
      </c>
      <c r="H874">
        <v>0</v>
      </c>
      <c r="I874">
        <v>0</v>
      </c>
      <c r="J874" s="69">
        <v>46217</v>
      </c>
      <c r="K874" t="s">
        <v>1571</v>
      </c>
    </row>
    <row r="875" spans="1:11" x14ac:dyDescent="0.25">
      <c r="A875" s="5" t="s">
        <v>22</v>
      </c>
      <c r="B875" t="s">
        <v>1225</v>
      </c>
      <c r="C875">
        <v>16</v>
      </c>
      <c r="D875" t="s">
        <v>1246</v>
      </c>
      <c r="E875">
        <v>0</v>
      </c>
      <c r="F875" t="s">
        <v>254</v>
      </c>
      <c r="G875">
        <v>2337014</v>
      </c>
      <c r="H875">
        <v>364</v>
      </c>
      <c r="I875">
        <v>0</v>
      </c>
      <c r="J875" s="69">
        <v>46225</v>
      </c>
      <c r="K875" t="s">
        <v>1571</v>
      </c>
    </row>
    <row r="876" spans="1:11" x14ac:dyDescent="0.25">
      <c r="A876" s="5" t="s">
        <v>22</v>
      </c>
      <c r="B876" t="s">
        <v>1225</v>
      </c>
      <c r="C876">
        <v>16</v>
      </c>
      <c r="D876" t="s">
        <v>1247</v>
      </c>
      <c r="E876">
        <v>0</v>
      </c>
      <c r="F876" t="s">
        <v>256</v>
      </c>
      <c r="G876">
        <v>2337014</v>
      </c>
      <c r="H876">
        <v>364</v>
      </c>
      <c r="I876">
        <v>0</v>
      </c>
      <c r="J876" s="69">
        <v>46225</v>
      </c>
      <c r="K876" t="s">
        <v>1571</v>
      </c>
    </row>
    <row r="877" spans="1:11" x14ac:dyDescent="0.25">
      <c r="A877" s="5" t="s">
        <v>22</v>
      </c>
      <c r="B877" t="s">
        <v>1225</v>
      </c>
      <c r="C877">
        <v>16</v>
      </c>
      <c r="D877" t="s">
        <v>1248</v>
      </c>
      <c r="E877">
        <v>0</v>
      </c>
      <c r="F877" t="s">
        <v>1249</v>
      </c>
      <c r="G877" t="s">
        <v>1571</v>
      </c>
      <c r="H877">
        <v>90</v>
      </c>
      <c r="I877">
        <v>0</v>
      </c>
      <c r="J877" s="69">
        <v>46225</v>
      </c>
      <c r="K877" t="s">
        <v>1571</v>
      </c>
    </row>
    <row r="878" spans="1:11" x14ac:dyDescent="0.25">
      <c r="A878" s="5" t="s">
        <v>22</v>
      </c>
      <c r="B878" t="s">
        <v>1225</v>
      </c>
      <c r="C878">
        <v>16</v>
      </c>
      <c r="D878" t="s">
        <v>1250</v>
      </c>
      <c r="E878">
        <v>0</v>
      </c>
      <c r="F878" t="s">
        <v>1251</v>
      </c>
      <c r="G878" t="s">
        <v>1952</v>
      </c>
      <c r="H878">
        <v>90</v>
      </c>
      <c r="I878">
        <v>0</v>
      </c>
      <c r="J878" s="69">
        <v>46225</v>
      </c>
      <c r="K878" t="s">
        <v>1571</v>
      </c>
    </row>
    <row r="879" spans="1:11" x14ac:dyDescent="0.25">
      <c r="A879" s="5" t="s">
        <v>22</v>
      </c>
      <c r="B879" t="s">
        <v>1225</v>
      </c>
      <c r="C879">
        <v>16</v>
      </c>
      <c r="D879" t="s">
        <v>1250</v>
      </c>
      <c r="E879">
        <v>0</v>
      </c>
      <c r="F879" t="s">
        <v>1251</v>
      </c>
      <c r="G879" t="s">
        <v>1943</v>
      </c>
      <c r="H879">
        <v>90</v>
      </c>
      <c r="I879">
        <v>0</v>
      </c>
      <c r="J879" s="69">
        <v>46225</v>
      </c>
      <c r="K879" t="s">
        <v>1571</v>
      </c>
    </row>
    <row r="880" spans="1:11" x14ac:dyDescent="0.25">
      <c r="A880" s="5" t="s">
        <v>1463</v>
      </c>
      <c r="B880" t="s">
        <v>1225</v>
      </c>
      <c r="C880">
        <v>17</v>
      </c>
      <c r="D880" t="s">
        <v>1232</v>
      </c>
      <c r="E880">
        <v>183</v>
      </c>
      <c r="F880" t="s">
        <v>2196</v>
      </c>
      <c r="G880" t="s">
        <v>1571</v>
      </c>
      <c r="H880">
        <v>28</v>
      </c>
      <c r="I880">
        <v>827</v>
      </c>
      <c r="J880" s="69">
        <v>46226</v>
      </c>
      <c r="K880" t="s">
        <v>1571</v>
      </c>
    </row>
    <row r="881" spans="1:11" ht="60" x14ac:dyDescent="0.25">
      <c r="A881" s="5" t="s">
        <v>1463</v>
      </c>
      <c r="B881" t="s">
        <v>1225</v>
      </c>
      <c r="C881">
        <v>17</v>
      </c>
      <c r="D881" t="s">
        <v>1232</v>
      </c>
      <c r="E881">
        <v>191</v>
      </c>
      <c r="F881" s="10" t="s">
        <v>2197</v>
      </c>
      <c r="G881" t="s">
        <v>1571</v>
      </c>
      <c r="H881">
        <v>28</v>
      </c>
      <c r="I881">
        <v>340</v>
      </c>
      <c r="J881" s="69">
        <v>46226</v>
      </c>
      <c r="K881" t="s">
        <v>1571</v>
      </c>
    </row>
    <row r="882" spans="1:11" ht="90" x14ac:dyDescent="0.25">
      <c r="A882" s="5" t="s">
        <v>1463</v>
      </c>
      <c r="B882" t="s">
        <v>1225</v>
      </c>
      <c r="C882">
        <v>17</v>
      </c>
      <c r="D882" t="s">
        <v>1232</v>
      </c>
      <c r="E882">
        <v>194</v>
      </c>
      <c r="F882" s="10" t="s">
        <v>2198</v>
      </c>
      <c r="G882" t="s">
        <v>1571</v>
      </c>
      <c r="H882">
        <v>28</v>
      </c>
      <c r="I882">
        <v>418</v>
      </c>
      <c r="J882" s="69">
        <v>46226</v>
      </c>
      <c r="K882" t="s">
        <v>1571</v>
      </c>
    </row>
    <row r="883" spans="1:11" ht="75" x14ac:dyDescent="0.25">
      <c r="A883" s="5" t="s">
        <v>1463</v>
      </c>
      <c r="B883" t="s">
        <v>1225</v>
      </c>
      <c r="C883">
        <v>17</v>
      </c>
      <c r="D883" t="s">
        <v>1232</v>
      </c>
      <c r="E883">
        <v>200</v>
      </c>
      <c r="F883" s="10" t="s">
        <v>2199</v>
      </c>
      <c r="G883" t="s">
        <v>1571</v>
      </c>
      <c r="H883">
        <v>28</v>
      </c>
      <c r="I883">
        <v>228</v>
      </c>
      <c r="J883" s="69">
        <v>46226</v>
      </c>
      <c r="K883" t="s">
        <v>1571</v>
      </c>
    </row>
    <row r="884" spans="1:11" x14ac:dyDescent="0.25">
      <c r="A884" s="5" t="s">
        <v>1463</v>
      </c>
      <c r="B884" t="s">
        <v>1225</v>
      </c>
      <c r="C884">
        <v>17</v>
      </c>
      <c r="D884" t="s">
        <v>1232</v>
      </c>
      <c r="E884">
        <v>204</v>
      </c>
      <c r="F884" t="s">
        <v>2200</v>
      </c>
      <c r="G884" t="s">
        <v>1571</v>
      </c>
      <c r="H884">
        <v>28</v>
      </c>
      <c r="I884">
        <v>288</v>
      </c>
      <c r="J884" s="69">
        <v>46226</v>
      </c>
      <c r="K884" t="s">
        <v>1571</v>
      </c>
    </row>
    <row r="885" spans="1:11" x14ac:dyDescent="0.25">
      <c r="A885" s="5" t="s">
        <v>1463</v>
      </c>
      <c r="B885" t="s">
        <v>1225</v>
      </c>
      <c r="C885">
        <v>17</v>
      </c>
      <c r="D885" t="s">
        <v>1232</v>
      </c>
      <c r="E885">
        <v>215</v>
      </c>
      <c r="F885" t="s">
        <v>2201</v>
      </c>
      <c r="G885" t="s">
        <v>1571</v>
      </c>
      <c r="H885">
        <v>28</v>
      </c>
      <c r="I885">
        <v>228</v>
      </c>
      <c r="J885" s="69">
        <v>46226</v>
      </c>
      <c r="K885" t="s">
        <v>1571</v>
      </c>
    </row>
    <row r="886" spans="1:11" x14ac:dyDescent="0.25">
      <c r="A886" s="5" t="s">
        <v>1463</v>
      </c>
      <c r="B886" t="s">
        <v>1225</v>
      </c>
      <c r="C886">
        <v>17</v>
      </c>
      <c r="D886" t="s">
        <v>1232</v>
      </c>
      <c r="E886">
        <v>218</v>
      </c>
      <c r="F886" t="s">
        <v>2202</v>
      </c>
      <c r="G886" t="s">
        <v>1571</v>
      </c>
      <c r="H886">
        <v>28</v>
      </c>
      <c r="I886">
        <v>188</v>
      </c>
      <c r="J886" s="69">
        <v>46226</v>
      </c>
      <c r="K886" t="s">
        <v>1571</v>
      </c>
    </row>
    <row r="887" spans="1:11" x14ac:dyDescent="0.25">
      <c r="A887" s="5" t="s">
        <v>1463</v>
      </c>
      <c r="B887" t="s">
        <v>1225</v>
      </c>
      <c r="C887">
        <v>17</v>
      </c>
      <c r="D887" t="s">
        <v>1232</v>
      </c>
      <c r="E887">
        <v>222</v>
      </c>
      <c r="F887" t="s">
        <v>2203</v>
      </c>
      <c r="G887" t="s">
        <v>1571</v>
      </c>
      <c r="H887">
        <v>28</v>
      </c>
      <c r="I887">
        <v>150</v>
      </c>
      <c r="J887" s="69">
        <v>46226</v>
      </c>
      <c r="K887" t="s">
        <v>1571</v>
      </c>
    </row>
    <row r="888" spans="1:11" x14ac:dyDescent="0.25">
      <c r="A888" s="5" t="s">
        <v>22</v>
      </c>
      <c r="B888" t="s">
        <v>1225</v>
      </c>
      <c r="C888">
        <v>17</v>
      </c>
      <c r="D888" t="s">
        <v>1252</v>
      </c>
      <c r="E888">
        <v>0</v>
      </c>
      <c r="F888" t="s">
        <v>206</v>
      </c>
      <c r="G888" t="s">
        <v>1571</v>
      </c>
      <c r="H888">
        <v>91</v>
      </c>
      <c r="I888">
        <v>0</v>
      </c>
      <c r="J888" s="69">
        <v>46226</v>
      </c>
      <c r="K888" t="s">
        <v>1571</v>
      </c>
    </row>
    <row r="889" spans="1:11" x14ac:dyDescent="0.25">
      <c r="A889" s="5" t="s">
        <v>22</v>
      </c>
      <c r="B889" t="s">
        <v>1225</v>
      </c>
      <c r="C889">
        <v>17</v>
      </c>
      <c r="D889" t="s">
        <v>1253</v>
      </c>
      <c r="E889">
        <v>0</v>
      </c>
      <c r="F889" t="s">
        <v>208</v>
      </c>
      <c r="G889" t="s">
        <v>1571</v>
      </c>
      <c r="H889">
        <v>91</v>
      </c>
      <c r="I889">
        <v>0</v>
      </c>
      <c r="J889" s="69">
        <v>46226</v>
      </c>
      <c r="K889" t="s">
        <v>1571</v>
      </c>
    </row>
    <row r="890" spans="1:11" x14ac:dyDescent="0.25">
      <c r="A890" s="5" t="s">
        <v>22</v>
      </c>
      <c r="B890" t="s">
        <v>1225</v>
      </c>
      <c r="C890">
        <v>17</v>
      </c>
      <c r="D890" t="s">
        <v>1254</v>
      </c>
      <c r="E890">
        <v>0</v>
      </c>
      <c r="F890" t="s">
        <v>1255</v>
      </c>
      <c r="G890" t="s">
        <v>2045</v>
      </c>
      <c r="H890">
        <v>728</v>
      </c>
      <c r="I890">
        <v>0</v>
      </c>
      <c r="J890" s="69">
        <v>46226</v>
      </c>
      <c r="K890" t="s">
        <v>1571</v>
      </c>
    </row>
    <row r="891" spans="1:11" x14ac:dyDescent="0.25">
      <c r="A891" s="5" t="s">
        <v>22</v>
      </c>
      <c r="B891" t="s">
        <v>1225</v>
      </c>
      <c r="C891">
        <v>23</v>
      </c>
      <c r="D891" t="s">
        <v>1226</v>
      </c>
      <c r="E891">
        <v>0</v>
      </c>
      <c r="F891" t="s">
        <v>1227</v>
      </c>
      <c r="G891" t="s">
        <v>1571</v>
      </c>
      <c r="H891">
        <v>30</v>
      </c>
      <c r="I891">
        <v>0</v>
      </c>
      <c r="J891" s="69">
        <v>46232</v>
      </c>
      <c r="K891" t="s">
        <v>1571</v>
      </c>
    </row>
    <row r="892" spans="1:11" x14ac:dyDescent="0.25">
      <c r="A892" s="5" t="s">
        <v>22</v>
      </c>
      <c r="B892" t="s">
        <v>1225</v>
      </c>
      <c r="C892">
        <v>23</v>
      </c>
      <c r="D892" t="s">
        <v>1228</v>
      </c>
      <c r="E892">
        <v>0</v>
      </c>
      <c r="F892" t="s">
        <v>1229</v>
      </c>
      <c r="G892" t="s">
        <v>1571</v>
      </c>
      <c r="H892">
        <v>30</v>
      </c>
      <c r="I892">
        <v>0</v>
      </c>
      <c r="J892" s="69">
        <v>46232</v>
      </c>
      <c r="K892" t="s">
        <v>1571</v>
      </c>
    </row>
    <row r="893" spans="1:11" x14ac:dyDescent="0.25">
      <c r="A893" s="5" t="s">
        <v>22</v>
      </c>
      <c r="B893" t="s">
        <v>1225</v>
      </c>
      <c r="C893">
        <v>23</v>
      </c>
      <c r="D893" t="s">
        <v>1256</v>
      </c>
      <c r="E893">
        <v>0</v>
      </c>
      <c r="F893" t="s">
        <v>1257</v>
      </c>
      <c r="G893" t="s">
        <v>1571</v>
      </c>
      <c r="H893">
        <v>182</v>
      </c>
      <c r="I893">
        <v>0</v>
      </c>
      <c r="J893" s="69">
        <v>46232</v>
      </c>
      <c r="K893" t="s">
        <v>1571</v>
      </c>
    </row>
    <row r="894" spans="1:11" x14ac:dyDescent="0.25">
      <c r="A894" s="5" t="s">
        <v>22</v>
      </c>
      <c r="B894" t="s">
        <v>1225</v>
      </c>
      <c r="C894">
        <v>23</v>
      </c>
      <c r="D894" t="s">
        <v>1230</v>
      </c>
      <c r="E894">
        <v>0</v>
      </c>
      <c r="F894" t="s">
        <v>1231</v>
      </c>
      <c r="G894" t="s">
        <v>1571</v>
      </c>
      <c r="H894">
        <v>30</v>
      </c>
      <c r="I894">
        <v>0</v>
      </c>
      <c r="J894" s="69">
        <v>46232</v>
      </c>
      <c r="K894" t="s">
        <v>1571</v>
      </c>
    </row>
    <row r="895" spans="1:11" x14ac:dyDescent="0.25">
      <c r="A895" s="5" t="s">
        <v>22</v>
      </c>
      <c r="B895" t="s">
        <v>1225</v>
      </c>
      <c r="C895">
        <v>23</v>
      </c>
      <c r="D895" t="s">
        <v>2204</v>
      </c>
      <c r="E895">
        <v>0</v>
      </c>
      <c r="F895" t="s">
        <v>2205</v>
      </c>
      <c r="G895" t="s">
        <v>2206</v>
      </c>
      <c r="H895">
        <v>30</v>
      </c>
      <c r="I895">
        <v>0</v>
      </c>
      <c r="J895" s="69">
        <v>46232</v>
      </c>
      <c r="K895" t="s">
        <v>1571</v>
      </c>
    </row>
    <row r="896" spans="1:11" x14ac:dyDescent="0.25">
      <c r="A896" s="5" t="s">
        <v>22</v>
      </c>
      <c r="B896" t="s">
        <v>1225</v>
      </c>
      <c r="C896">
        <v>23</v>
      </c>
      <c r="D896" t="s">
        <v>2207</v>
      </c>
      <c r="E896">
        <v>0</v>
      </c>
      <c r="F896" t="s">
        <v>2208</v>
      </c>
      <c r="G896" t="s">
        <v>2206</v>
      </c>
      <c r="H896">
        <v>30</v>
      </c>
      <c r="I896">
        <v>0</v>
      </c>
      <c r="J896" s="69">
        <v>46232</v>
      </c>
      <c r="K896" t="s">
        <v>1571</v>
      </c>
    </row>
    <row r="897" spans="1:11" x14ac:dyDescent="0.25">
      <c r="A897" s="5" t="s">
        <v>22</v>
      </c>
      <c r="B897" t="s">
        <v>1225</v>
      </c>
      <c r="C897">
        <v>23</v>
      </c>
      <c r="D897" t="s">
        <v>2209</v>
      </c>
      <c r="E897">
        <v>0</v>
      </c>
      <c r="F897" t="s">
        <v>2210</v>
      </c>
      <c r="G897" t="s">
        <v>2206</v>
      </c>
      <c r="H897">
        <v>30</v>
      </c>
      <c r="I897">
        <v>0</v>
      </c>
      <c r="J897" s="69">
        <v>46232</v>
      </c>
      <c r="K897" t="s">
        <v>1571</v>
      </c>
    </row>
    <row r="898" spans="1:11" x14ac:dyDescent="0.25">
      <c r="A898" s="5" t="s">
        <v>1463</v>
      </c>
      <c r="B898" t="s">
        <v>1225</v>
      </c>
      <c r="C898">
        <v>24</v>
      </c>
      <c r="D898" t="s">
        <v>1235</v>
      </c>
      <c r="E898">
        <v>0</v>
      </c>
      <c r="F898" t="s">
        <v>1236</v>
      </c>
      <c r="G898" t="s">
        <v>1571</v>
      </c>
      <c r="H898">
        <v>28</v>
      </c>
      <c r="I898">
        <v>810</v>
      </c>
      <c r="J898" s="69">
        <v>46233</v>
      </c>
      <c r="K898" t="s">
        <v>1571</v>
      </c>
    </row>
    <row r="899" spans="1:11" x14ac:dyDescent="0.25">
      <c r="A899" s="5" t="s">
        <v>1463</v>
      </c>
      <c r="B899" t="s">
        <v>1225</v>
      </c>
      <c r="C899">
        <v>24</v>
      </c>
      <c r="D899" t="s">
        <v>1235</v>
      </c>
      <c r="E899">
        <v>2</v>
      </c>
      <c r="F899" t="s">
        <v>2211</v>
      </c>
      <c r="G899" t="s">
        <v>1571</v>
      </c>
      <c r="H899">
        <v>28</v>
      </c>
      <c r="I899">
        <v>0</v>
      </c>
      <c r="J899" s="69">
        <v>46233</v>
      </c>
      <c r="K899" t="s">
        <v>1571</v>
      </c>
    </row>
    <row r="900" spans="1:11" x14ac:dyDescent="0.25">
      <c r="A900" s="5" t="s">
        <v>1463</v>
      </c>
      <c r="B900" t="s">
        <v>1225</v>
      </c>
      <c r="C900">
        <v>24</v>
      </c>
      <c r="D900" t="s">
        <v>1232</v>
      </c>
      <c r="E900">
        <v>225</v>
      </c>
      <c r="F900" t="s">
        <v>2212</v>
      </c>
      <c r="G900" t="s">
        <v>1571</v>
      </c>
      <c r="H900">
        <v>28</v>
      </c>
      <c r="I900">
        <v>0</v>
      </c>
      <c r="J900" s="69">
        <v>46233</v>
      </c>
      <c r="K900" t="s">
        <v>1571</v>
      </c>
    </row>
    <row r="901" spans="1:11" ht="75" x14ac:dyDescent="0.25">
      <c r="A901" s="5" t="s">
        <v>1463</v>
      </c>
      <c r="B901" t="s">
        <v>1225</v>
      </c>
      <c r="C901">
        <v>24</v>
      </c>
      <c r="D901" t="s">
        <v>1232</v>
      </c>
      <c r="E901">
        <v>232</v>
      </c>
      <c r="F901" s="10" t="s">
        <v>2213</v>
      </c>
      <c r="G901" t="s">
        <v>1571</v>
      </c>
      <c r="H901">
        <v>28</v>
      </c>
      <c r="I901">
        <v>0</v>
      </c>
      <c r="J901" s="69">
        <v>46233</v>
      </c>
      <c r="K901" t="s">
        <v>1571</v>
      </c>
    </row>
    <row r="902" spans="1:11" x14ac:dyDescent="0.25">
      <c r="A902" s="5" t="s">
        <v>22</v>
      </c>
      <c r="B902" t="s">
        <v>1225</v>
      </c>
      <c r="C902">
        <v>24</v>
      </c>
      <c r="D902" t="s">
        <v>1835</v>
      </c>
      <c r="E902">
        <v>0</v>
      </c>
      <c r="F902" t="s">
        <v>1836</v>
      </c>
      <c r="G902" t="s">
        <v>1986</v>
      </c>
      <c r="H902">
        <v>30</v>
      </c>
      <c r="I902">
        <v>0</v>
      </c>
      <c r="J902" s="69">
        <v>46233</v>
      </c>
      <c r="K902" t="s">
        <v>1571</v>
      </c>
    </row>
    <row r="903" spans="1:11" x14ac:dyDescent="0.25">
      <c r="A903" s="5" t="s">
        <v>1463</v>
      </c>
      <c r="B903" t="s">
        <v>1225</v>
      </c>
      <c r="C903">
        <v>29</v>
      </c>
      <c r="D903" t="s">
        <v>1232</v>
      </c>
      <c r="E903">
        <v>229</v>
      </c>
      <c r="F903" t="s">
        <v>2214</v>
      </c>
      <c r="G903" t="s">
        <v>1571</v>
      </c>
      <c r="H903">
        <v>90</v>
      </c>
      <c r="I903">
        <v>0</v>
      </c>
      <c r="J903" s="69">
        <v>46238</v>
      </c>
      <c r="K903" t="s">
        <v>1571</v>
      </c>
    </row>
    <row r="904" spans="1:11" x14ac:dyDescent="0.25">
      <c r="A904" s="5" t="s">
        <v>22</v>
      </c>
      <c r="B904" t="s">
        <v>1225</v>
      </c>
      <c r="C904">
        <v>29</v>
      </c>
      <c r="D904" t="s">
        <v>1258</v>
      </c>
      <c r="E904">
        <v>0</v>
      </c>
      <c r="F904" s="10" t="s">
        <v>1259</v>
      </c>
      <c r="G904" t="s">
        <v>1986</v>
      </c>
      <c r="H904">
        <v>90</v>
      </c>
      <c r="I904">
        <v>0</v>
      </c>
      <c r="J904" s="69">
        <v>46238</v>
      </c>
      <c r="K904" t="s">
        <v>1571</v>
      </c>
    </row>
    <row r="905" spans="1:11" x14ac:dyDescent="0.25">
      <c r="A905" s="5" t="s">
        <v>22</v>
      </c>
      <c r="B905" t="s">
        <v>1225</v>
      </c>
      <c r="C905">
        <v>35</v>
      </c>
      <c r="D905" t="s">
        <v>1260</v>
      </c>
      <c r="E905">
        <v>0</v>
      </c>
      <c r="F905" s="10" t="s">
        <v>1261</v>
      </c>
      <c r="G905" t="s">
        <v>2215</v>
      </c>
      <c r="H905">
        <v>182</v>
      </c>
      <c r="I905">
        <v>0</v>
      </c>
      <c r="J905" s="69">
        <v>46244</v>
      </c>
      <c r="K905" t="s">
        <v>1571</v>
      </c>
    </row>
    <row r="906" spans="1:11" ht="30" x14ac:dyDescent="0.25">
      <c r="A906" s="5" t="s">
        <v>22</v>
      </c>
      <c r="B906" t="s">
        <v>1225</v>
      </c>
      <c r="C906">
        <v>36</v>
      </c>
      <c r="D906" t="s">
        <v>1917</v>
      </c>
      <c r="E906">
        <v>0</v>
      </c>
      <c r="F906" s="10" t="s">
        <v>1908</v>
      </c>
      <c r="G906" t="s">
        <v>1986</v>
      </c>
      <c r="H906">
        <v>90</v>
      </c>
      <c r="I906">
        <v>0</v>
      </c>
      <c r="J906" s="69">
        <v>46245</v>
      </c>
      <c r="K906" t="s">
        <v>1571</v>
      </c>
    </row>
    <row r="907" spans="1:11" x14ac:dyDescent="0.25">
      <c r="A907" s="5" t="s">
        <v>1463</v>
      </c>
      <c r="B907" t="s">
        <v>1225</v>
      </c>
      <c r="C907">
        <v>42</v>
      </c>
      <c r="D907" t="s">
        <v>1232</v>
      </c>
      <c r="E907">
        <v>233</v>
      </c>
      <c r="F907" t="s">
        <v>2216</v>
      </c>
      <c r="G907" t="s">
        <v>1571</v>
      </c>
      <c r="H907">
        <v>46</v>
      </c>
      <c r="I907">
        <v>0</v>
      </c>
      <c r="J907" s="69">
        <v>46251</v>
      </c>
      <c r="K907" t="s">
        <v>1571</v>
      </c>
    </row>
    <row r="908" spans="1:11" x14ac:dyDescent="0.25">
      <c r="A908" s="5" t="s">
        <v>1463</v>
      </c>
      <c r="B908" t="s">
        <v>1225</v>
      </c>
      <c r="C908">
        <v>42</v>
      </c>
      <c r="D908" t="s">
        <v>1232</v>
      </c>
      <c r="E908">
        <v>234</v>
      </c>
      <c r="F908" t="s">
        <v>2216</v>
      </c>
      <c r="G908" t="s">
        <v>1571</v>
      </c>
      <c r="H908">
        <v>46</v>
      </c>
      <c r="I908">
        <v>0</v>
      </c>
      <c r="J908" s="69">
        <v>46251</v>
      </c>
      <c r="K908" t="s">
        <v>1571</v>
      </c>
    </row>
    <row r="909" spans="1:11" x14ac:dyDescent="0.25">
      <c r="A909" s="5" t="s">
        <v>1463</v>
      </c>
      <c r="B909" t="s">
        <v>1225</v>
      </c>
      <c r="C909">
        <v>42</v>
      </c>
      <c r="D909" t="s">
        <v>1232</v>
      </c>
      <c r="E909">
        <v>235</v>
      </c>
      <c r="F909" t="s">
        <v>2216</v>
      </c>
      <c r="G909" t="s">
        <v>1571</v>
      </c>
      <c r="H909">
        <v>46</v>
      </c>
      <c r="I909">
        <v>0</v>
      </c>
      <c r="J909" s="69">
        <v>46251</v>
      </c>
      <c r="K909" t="s">
        <v>1571</v>
      </c>
    </row>
    <row r="910" spans="1:11" x14ac:dyDescent="0.25">
      <c r="A910" s="5" t="s">
        <v>22</v>
      </c>
      <c r="B910" t="s">
        <v>1225</v>
      </c>
      <c r="C910">
        <v>42</v>
      </c>
      <c r="D910" t="s">
        <v>1262</v>
      </c>
      <c r="E910">
        <v>0</v>
      </c>
      <c r="F910" t="s">
        <v>1263</v>
      </c>
      <c r="G910" t="s">
        <v>2217</v>
      </c>
      <c r="H910">
        <v>182</v>
      </c>
      <c r="I910">
        <v>0</v>
      </c>
      <c r="J910" s="69">
        <v>46251</v>
      </c>
      <c r="K910" t="s">
        <v>1571</v>
      </c>
    </row>
    <row r="911" spans="1:11" x14ac:dyDescent="0.25">
      <c r="A911" s="5" t="s">
        <v>22</v>
      </c>
      <c r="B911" t="s">
        <v>1225</v>
      </c>
      <c r="C911">
        <v>44</v>
      </c>
      <c r="D911" t="s">
        <v>2218</v>
      </c>
      <c r="E911">
        <v>0</v>
      </c>
      <c r="F911" s="10" t="s">
        <v>2219</v>
      </c>
      <c r="G911">
        <v>6866</v>
      </c>
      <c r="H911">
        <v>182</v>
      </c>
      <c r="I911">
        <v>0</v>
      </c>
      <c r="J911" s="69">
        <v>46253</v>
      </c>
      <c r="K911" t="s">
        <v>1571</v>
      </c>
    </row>
    <row r="912" spans="1:11" x14ac:dyDescent="0.25">
      <c r="A912" s="5" t="s">
        <v>22</v>
      </c>
      <c r="B912" t="s">
        <v>1225</v>
      </c>
      <c r="C912">
        <v>60</v>
      </c>
      <c r="D912" t="s">
        <v>1265</v>
      </c>
      <c r="E912">
        <v>0</v>
      </c>
      <c r="F912" t="s">
        <v>1266</v>
      </c>
      <c r="G912" t="s">
        <v>1571</v>
      </c>
      <c r="H912">
        <v>182</v>
      </c>
      <c r="I912">
        <v>0</v>
      </c>
      <c r="J912" s="69">
        <v>46269</v>
      </c>
      <c r="K912" t="s">
        <v>1571</v>
      </c>
    </row>
    <row r="913" spans="1:11" x14ac:dyDescent="0.25">
      <c r="A913" s="5" t="s">
        <v>22</v>
      </c>
      <c r="B913" t="s">
        <v>1225</v>
      </c>
      <c r="C913">
        <v>63</v>
      </c>
      <c r="D913" t="s">
        <v>1267</v>
      </c>
      <c r="E913">
        <v>0</v>
      </c>
      <c r="F913" t="s">
        <v>1268</v>
      </c>
      <c r="G913" t="s">
        <v>2006</v>
      </c>
      <c r="H913">
        <v>4368</v>
      </c>
      <c r="I913">
        <v>0</v>
      </c>
      <c r="J913" s="69">
        <v>46272</v>
      </c>
      <c r="K913" t="s">
        <v>1571</v>
      </c>
    </row>
    <row r="914" spans="1:11" x14ac:dyDescent="0.25">
      <c r="A914" s="5" t="s">
        <v>22</v>
      </c>
      <c r="B914" t="s">
        <v>1225</v>
      </c>
      <c r="C914">
        <v>65</v>
      </c>
      <c r="D914" t="s">
        <v>1269</v>
      </c>
      <c r="E914">
        <v>0</v>
      </c>
      <c r="F914" t="s">
        <v>1270</v>
      </c>
      <c r="G914" t="s">
        <v>1571</v>
      </c>
      <c r="H914">
        <v>364</v>
      </c>
      <c r="I914">
        <v>0</v>
      </c>
      <c r="J914" s="69">
        <v>46274</v>
      </c>
      <c r="K914" t="s">
        <v>1571</v>
      </c>
    </row>
    <row r="915" spans="1:11" x14ac:dyDescent="0.25">
      <c r="A915" s="5" t="s">
        <v>22</v>
      </c>
      <c r="B915" t="s">
        <v>1225</v>
      </c>
      <c r="C915">
        <v>65</v>
      </c>
      <c r="D915" t="s">
        <v>1271</v>
      </c>
      <c r="E915">
        <v>0</v>
      </c>
      <c r="F915" t="s">
        <v>233</v>
      </c>
      <c r="G915">
        <v>42</v>
      </c>
      <c r="H915">
        <v>364</v>
      </c>
      <c r="I915">
        <v>0</v>
      </c>
      <c r="J915" s="69">
        <v>46274</v>
      </c>
      <c r="K915" t="s">
        <v>1571</v>
      </c>
    </row>
    <row r="916" spans="1:11" x14ac:dyDescent="0.25">
      <c r="A916" s="5" t="s">
        <v>22</v>
      </c>
      <c r="B916" t="s">
        <v>1225</v>
      </c>
      <c r="C916">
        <v>66</v>
      </c>
      <c r="D916" t="s">
        <v>1272</v>
      </c>
      <c r="E916">
        <v>0</v>
      </c>
      <c r="F916" t="s">
        <v>1273</v>
      </c>
      <c r="G916" t="s">
        <v>1571</v>
      </c>
      <c r="H916">
        <v>182</v>
      </c>
      <c r="I916">
        <v>0</v>
      </c>
      <c r="J916" s="69">
        <v>46275</v>
      </c>
      <c r="K916" t="s">
        <v>1571</v>
      </c>
    </row>
    <row r="917" spans="1:11" x14ac:dyDescent="0.25">
      <c r="A917" s="5" t="s">
        <v>22</v>
      </c>
      <c r="B917" t="s">
        <v>1225</v>
      </c>
      <c r="C917">
        <v>66</v>
      </c>
      <c r="D917" t="s">
        <v>1274</v>
      </c>
      <c r="E917">
        <v>0</v>
      </c>
      <c r="F917" t="s">
        <v>229</v>
      </c>
      <c r="G917" t="s">
        <v>1571</v>
      </c>
      <c r="H917">
        <v>182</v>
      </c>
      <c r="I917">
        <v>0</v>
      </c>
      <c r="J917" s="69">
        <v>46275</v>
      </c>
      <c r="K917" t="s">
        <v>1571</v>
      </c>
    </row>
    <row r="918" spans="1:11" x14ac:dyDescent="0.25">
      <c r="A918" s="5" t="s">
        <v>22</v>
      </c>
      <c r="B918" t="s">
        <v>1225</v>
      </c>
      <c r="C918">
        <v>66</v>
      </c>
      <c r="D918" t="s">
        <v>1275</v>
      </c>
      <c r="E918">
        <v>0</v>
      </c>
      <c r="F918" t="s">
        <v>1276</v>
      </c>
      <c r="G918" t="s">
        <v>2045</v>
      </c>
      <c r="H918">
        <v>182</v>
      </c>
      <c r="I918">
        <v>0</v>
      </c>
      <c r="J918" s="69">
        <v>46275</v>
      </c>
      <c r="K918" t="s">
        <v>1571</v>
      </c>
    </row>
    <row r="919" spans="1:11" x14ac:dyDescent="0.25">
      <c r="A919" s="5" t="s">
        <v>22</v>
      </c>
      <c r="B919" t="s">
        <v>1225</v>
      </c>
      <c r="C919">
        <v>68</v>
      </c>
      <c r="D919" t="s">
        <v>2220</v>
      </c>
      <c r="E919">
        <v>0</v>
      </c>
      <c r="F919" t="s">
        <v>2221</v>
      </c>
      <c r="G919" t="s">
        <v>2206</v>
      </c>
      <c r="H919">
        <v>182</v>
      </c>
      <c r="I919">
        <v>0</v>
      </c>
      <c r="J919" s="69">
        <v>46277</v>
      </c>
      <c r="K919" t="s">
        <v>1571</v>
      </c>
    </row>
    <row r="920" spans="1:11" x14ac:dyDescent="0.25">
      <c r="A920" s="5" t="s">
        <v>22</v>
      </c>
      <c r="B920" t="s">
        <v>1225</v>
      </c>
      <c r="C920">
        <v>71</v>
      </c>
      <c r="D920" t="s">
        <v>1277</v>
      </c>
      <c r="E920">
        <v>0</v>
      </c>
      <c r="F920" t="s">
        <v>1278</v>
      </c>
      <c r="G920" t="s">
        <v>1571</v>
      </c>
      <c r="H920">
        <v>180</v>
      </c>
      <c r="I920">
        <v>0</v>
      </c>
      <c r="J920" s="69">
        <v>46280</v>
      </c>
      <c r="K920" t="s">
        <v>1571</v>
      </c>
    </row>
    <row r="921" spans="1:11" x14ac:dyDescent="0.25">
      <c r="A921" s="5" t="s">
        <v>22</v>
      </c>
      <c r="B921" t="s">
        <v>1225</v>
      </c>
      <c r="C921">
        <v>71</v>
      </c>
      <c r="D921" t="s">
        <v>1279</v>
      </c>
      <c r="E921">
        <v>0</v>
      </c>
      <c r="F921" t="s">
        <v>1280</v>
      </c>
      <c r="G921" t="s">
        <v>1571</v>
      </c>
      <c r="H921">
        <v>180</v>
      </c>
      <c r="I921">
        <v>0</v>
      </c>
      <c r="J921" s="69">
        <v>46280</v>
      </c>
      <c r="K921" t="s">
        <v>1571</v>
      </c>
    </row>
    <row r="922" spans="1:11" x14ac:dyDescent="0.25">
      <c r="A922" s="5" t="s">
        <v>22</v>
      </c>
      <c r="B922" t="s">
        <v>1225</v>
      </c>
      <c r="C922">
        <v>78</v>
      </c>
      <c r="D922" t="s">
        <v>1281</v>
      </c>
      <c r="E922">
        <v>0</v>
      </c>
      <c r="F922" t="s">
        <v>1282</v>
      </c>
      <c r="G922" t="s">
        <v>1571</v>
      </c>
      <c r="H922">
        <v>728</v>
      </c>
      <c r="I922">
        <v>0</v>
      </c>
      <c r="J922" s="69">
        <v>46287</v>
      </c>
      <c r="K922" t="s">
        <v>1571</v>
      </c>
    </row>
    <row r="923" spans="1:11" x14ac:dyDescent="0.25">
      <c r="A923" s="5" t="s">
        <v>22</v>
      </c>
      <c r="B923" t="s">
        <v>1225</v>
      </c>
      <c r="C923">
        <v>78</v>
      </c>
      <c r="D923" t="s">
        <v>1283</v>
      </c>
      <c r="E923">
        <v>0</v>
      </c>
      <c r="F923" t="s">
        <v>1284</v>
      </c>
      <c r="G923" t="s">
        <v>1571</v>
      </c>
      <c r="H923">
        <v>728</v>
      </c>
      <c r="I923">
        <v>0</v>
      </c>
      <c r="J923" s="69">
        <v>46287</v>
      </c>
      <c r="K923" t="s">
        <v>1571</v>
      </c>
    </row>
    <row r="924" spans="1:11" x14ac:dyDescent="0.25">
      <c r="A924" s="5" t="s">
        <v>22</v>
      </c>
      <c r="B924" t="s">
        <v>1225</v>
      </c>
      <c r="C924">
        <v>79</v>
      </c>
      <c r="D924" t="s">
        <v>1285</v>
      </c>
      <c r="E924">
        <v>0</v>
      </c>
      <c r="F924" t="s">
        <v>259</v>
      </c>
      <c r="G924" t="s">
        <v>1571</v>
      </c>
      <c r="H924">
        <v>364</v>
      </c>
      <c r="I924">
        <v>0</v>
      </c>
      <c r="J924" s="69">
        <v>46288</v>
      </c>
      <c r="K924" t="s">
        <v>1571</v>
      </c>
    </row>
    <row r="925" spans="1:11" x14ac:dyDescent="0.25">
      <c r="A925" s="5" t="s">
        <v>22</v>
      </c>
      <c r="B925" t="s">
        <v>1225</v>
      </c>
      <c r="C925">
        <v>79</v>
      </c>
      <c r="D925" t="s">
        <v>1286</v>
      </c>
      <c r="E925">
        <v>0</v>
      </c>
      <c r="F925" t="s">
        <v>261</v>
      </c>
      <c r="G925" t="s">
        <v>1571</v>
      </c>
      <c r="H925">
        <v>364</v>
      </c>
      <c r="I925">
        <v>0</v>
      </c>
      <c r="J925" s="69">
        <v>46288</v>
      </c>
      <c r="K925" t="s">
        <v>1571</v>
      </c>
    </row>
    <row r="926" spans="1:11" x14ac:dyDescent="0.25">
      <c r="A926" s="5" t="s">
        <v>22</v>
      </c>
      <c r="B926" t="s">
        <v>1225</v>
      </c>
      <c r="C926">
        <v>79</v>
      </c>
      <c r="D926" t="s">
        <v>1287</v>
      </c>
      <c r="E926">
        <v>0</v>
      </c>
      <c r="F926" t="s">
        <v>1288</v>
      </c>
      <c r="G926" t="s">
        <v>1571</v>
      </c>
      <c r="H926">
        <v>364</v>
      </c>
      <c r="I926">
        <v>0</v>
      </c>
      <c r="J926" s="69">
        <v>46288</v>
      </c>
      <c r="K926" t="s">
        <v>1571</v>
      </c>
    </row>
    <row r="927" spans="1:11" x14ac:dyDescent="0.25">
      <c r="A927" s="5" t="s">
        <v>22</v>
      </c>
      <c r="B927" t="s">
        <v>1225</v>
      </c>
      <c r="C927">
        <v>79</v>
      </c>
      <c r="D927" t="s">
        <v>1289</v>
      </c>
      <c r="E927">
        <v>0</v>
      </c>
      <c r="F927" t="s">
        <v>1290</v>
      </c>
      <c r="G927" t="s">
        <v>1571</v>
      </c>
      <c r="H927">
        <v>364</v>
      </c>
      <c r="I927">
        <v>0</v>
      </c>
      <c r="J927" s="69">
        <v>46288</v>
      </c>
      <c r="K927" t="s">
        <v>1571</v>
      </c>
    </row>
    <row r="928" spans="1:11" x14ac:dyDescent="0.25">
      <c r="A928" s="5" t="s">
        <v>22</v>
      </c>
      <c r="B928" t="s">
        <v>1225</v>
      </c>
      <c r="C928">
        <v>79</v>
      </c>
      <c r="D928" t="s">
        <v>1291</v>
      </c>
      <c r="E928">
        <v>0</v>
      </c>
      <c r="F928" t="s">
        <v>1292</v>
      </c>
      <c r="G928" t="s">
        <v>1571</v>
      </c>
      <c r="H928">
        <v>364</v>
      </c>
      <c r="I928">
        <v>0</v>
      </c>
      <c r="J928" s="69">
        <v>46288</v>
      </c>
      <c r="K928" t="s">
        <v>1571</v>
      </c>
    </row>
    <row r="929" spans="1:11" x14ac:dyDescent="0.25">
      <c r="A929" s="5" t="s">
        <v>22</v>
      </c>
      <c r="B929" t="s">
        <v>1225</v>
      </c>
      <c r="C929">
        <v>79</v>
      </c>
      <c r="D929" t="s">
        <v>1293</v>
      </c>
      <c r="E929">
        <v>0</v>
      </c>
      <c r="F929" t="s">
        <v>1294</v>
      </c>
      <c r="G929" t="s">
        <v>1571</v>
      </c>
      <c r="H929">
        <v>364</v>
      </c>
      <c r="I929">
        <v>0</v>
      </c>
      <c r="J929" s="69">
        <v>46288</v>
      </c>
      <c r="K929" t="s">
        <v>1571</v>
      </c>
    </row>
    <row r="930" spans="1:11" x14ac:dyDescent="0.25">
      <c r="A930" s="5" t="s">
        <v>22</v>
      </c>
      <c r="B930" t="s">
        <v>1225</v>
      </c>
      <c r="C930">
        <v>79</v>
      </c>
      <c r="D930" t="s">
        <v>1295</v>
      </c>
      <c r="E930">
        <v>0</v>
      </c>
      <c r="F930" t="s">
        <v>263</v>
      </c>
      <c r="G930" t="s">
        <v>1571</v>
      </c>
      <c r="H930">
        <v>364</v>
      </c>
      <c r="I930">
        <v>0</v>
      </c>
      <c r="J930" s="69">
        <v>46288</v>
      </c>
      <c r="K930" t="s">
        <v>1571</v>
      </c>
    </row>
    <row r="931" spans="1:11" x14ac:dyDescent="0.25">
      <c r="A931" s="5" t="s">
        <v>22</v>
      </c>
      <c r="B931" t="s">
        <v>1225</v>
      </c>
      <c r="C931">
        <v>79</v>
      </c>
      <c r="D931" t="s">
        <v>1296</v>
      </c>
      <c r="E931">
        <v>0</v>
      </c>
      <c r="F931" t="s">
        <v>265</v>
      </c>
      <c r="G931" t="s">
        <v>1571</v>
      </c>
      <c r="H931">
        <v>364</v>
      </c>
      <c r="I931">
        <v>0</v>
      </c>
      <c r="J931" s="69">
        <v>46288</v>
      </c>
      <c r="K931" t="s">
        <v>1571</v>
      </c>
    </row>
    <row r="932" spans="1:11" x14ac:dyDescent="0.25">
      <c r="A932" s="5" t="s">
        <v>22</v>
      </c>
      <c r="B932" t="s">
        <v>1225</v>
      </c>
      <c r="C932">
        <v>79</v>
      </c>
      <c r="D932" t="s">
        <v>1297</v>
      </c>
      <c r="E932">
        <v>0</v>
      </c>
      <c r="F932" t="s">
        <v>1298</v>
      </c>
      <c r="G932" t="s">
        <v>1571</v>
      </c>
      <c r="H932">
        <v>364</v>
      </c>
      <c r="I932">
        <v>0</v>
      </c>
      <c r="J932" s="69">
        <v>46288</v>
      </c>
      <c r="K932" t="s">
        <v>1571</v>
      </c>
    </row>
    <row r="933" spans="1:11" x14ac:dyDescent="0.25">
      <c r="A933" s="5" t="s">
        <v>22</v>
      </c>
      <c r="B933" t="s">
        <v>1225</v>
      </c>
      <c r="C933">
        <v>79</v>
      </c>
      <c r="D933" t="s">
        <v>1299</v>
      </c>
      <c r="E933">
        <v>0</v>
      </c>
      <c r="F933" t="s">
        <v>1300</v>
      </c>
      <c r="G933" t="s">
        <v>1952</v>
      </c>
      <c r="H933">
        <v>364</v>
      </c>
      <c r="I933">
        <v>0</v>
      </c>
      <c r="J933" s="69">
        <v>46288</v>
      </c>
      <c r="K933" t="s">
        <v>1571</v>
      </c>
    </row>
    <row r="934" spans="1:11" x14ac:dyDescent="0.25">
      <c r="A934" s="5" t="s">
        <v>22</v>
      </c>
      <c r="B934" t="s">
        <v>1225</v>
      </c>
      <c r="C934">
        <v>79</v>
      </c>
      <c r="D934" t="s">
        <v>1301</v>
      </c>
      <c r="E934">
        <v>0</v>
      </c>
      <c r="F934" t="s">
        <v>325</v>
      </c>
      <c r="G934" t="s">
        <v>2014</v>
      </c>
      <c r="H934">
        <v>364</v>
      </c>
      <c r="I934">
        <v>0</v>
      </c>
      <c r="J934" s="69">
        <v>46288</v>
      </c>
      <c r="K934" t="s">
        <v>1571</v>
      </c>
    </row>
    <row r="935" spans="1:11" x14ac:dyDescent="0.25">
      <c r="A935" s="5" t="s">
        <v>22</v>
      </c>
      <c r="B935" t="s">
        <v>1225</v>
      </c>
      <c r="C935">
        <v>79</v>
      </c>
      <c r="D935" t="s">
        <v>1299</v>
      </c>
      <c r="E935">
        <v>0</v>
      </c>
      <c r="F935" t="s">
        <v>1300</v>
      </c>
      <c r="G935" t="s">
        <v>1943</v>
      </c>
      <c r="H935">
        <v>364</v>
      </c>
      <c r="I935">
        <v>0</v>
      </c>
      <c r="J935" s="69">
        <v>46288</v>
      </c>
      <c r="K935" t="s">
        <v>1571</v>
      </c>
    </row>
    <row r="936" spans="1:11" x14ac:dyDescent="0.25">
      <c r="A936" s="5" t="s">
        <v>22</v>
      </c>
      <c r="B936" t="s">
        <v>1225</v>
      </c>
      <c r="C936">
        <v>79</v>
      </c>
      <c r="D936" t="s">
        <v>1302</v>
      </c>
      <c r="E936">
        <v>0</v>
      </c>
      <c r="F936" t="s">
        <v>1303</v>
      </c>
      <c r="G936" t="s">
        <v>2222</v>
      </c>
      <c r="H936">
        <v>364</v>
      </c>
      <c r="I936">
        <v>0</v>
      </c>
      <c r="J936" s="69">
        <v>46288</v>
      </c>
      <c r="K936" t="s">
        <v>1571</v>
      </c>
    </row>
    <row r="937" spans="1:11" x14ac:dyDescent="0.25">
      <c r="A937" s="5" t="s">
        <v>22</v>
      </c>
      <c r="B937" t="s">
        <v>1225</v>
      </c>
      <c r="C937">
        <v>79</v>
      </c>
      <c r="D937" t="s">
        <v>1304</v>
      </c>
      <c r="E937">
        <v>0</v>
      </c>
      <c r="F937" t="s">
        <v>349</v>
      </c>
      <c r="G937" t="s">
        <v>2102</v>
      </c>
      <c r="H937">
        <v>546</v>
      </c>
      <c r="I937">
        <v>0</v>
      </c>
      <c r="J937" s="69">
        <v>46288</v>
      </c>
      <c r="K937" t="s">
        <v>1571</v>
      </c>
    </row>
    <row r="938" spans="1:11" x14ac:dyDescent="0.25">
      <c r="A938" s="5" t="s">
        <v>22</v>
      </c>
      <c r="B938" t="s">
        <v>1225</v>
      </c>
      <c r="C938">
        <v>80</v>
      </c>
      <c r="D938" t="s">
        <v>1305</v>
      </c>
      <c r="E938">
        <v>0</v>
      </c>
      <c r="F938" t="s">
        <v>258</v>
      </c>
      <c r="G938" t="s">
        <v>1978</v>
      </c>
      <c r="H938">
        <v>365</v>
      </c>
      <c r="I938">
        <v>0</v>
      </c>
      <c r="J938" s="69">
        <v>46289</v>
      </c>
      <c r="K938" t="s">
        <v>1571</v>
      </c>
    </row>
    <row r="939" spans="1:11" x14ac:dyDescent="0.25">
      <c r="A939" s="5" t="s">
        <v>22</v>
      </c>
      <c r="B939" t="s">
        <v>1225</v>
      </c>
      <c r="C939">
        <v>80</v>
      </c>
      <c r="D939" t="s">
        <v>1306</v>
      </c>
      <c r="E939">
        <v>0</v>
      </c>
      <c r="F939" t="s">
        <v>1307</v>
      </c>
      <c r="G939" t="s">
        <v>1571</v>
      </c>
      <c r="H939">
        <v>728</v>
      </c>
      <c r="I939">
        <v>0</v>
      </c>
      <c r="J939" s="69">
        <v>46289</v>
      </c>
      <c r="K939" t="s">
        <v>1571</v>
      </c>
    </row>
    <row r="940" spans="1:11" x14ac:dyDescent="0.25">
      <c r="A940" s="5" t="s">
        <v>22</v>
      </c>
      <c r="B940" t="s">
        <v>1225</v>
      </c>
      <c r="C940">
        <v>84</v>
      </c>
      <c r="D940" t="s">
        <v>1308</v>
      </c>
      <c r="E940">
        <v>0</v>
      </c>
      <c r="F940" t="s">
        <v>1309</v>
      </c>
      <c r="G940" t="s">
        <v>1571</v>
      </c>
      <c r="H940">
        <v>364</v>
      </c>
      <c r="I940">
        <v>0</v>
      </c>
      <c r="J940" s="69">
        <v>46293</v>
      </c>
      <c r="K940" t="s">
        <v>1571</v>
      </c>
    </row>
    <row r="941" spans="1:11" x14ac:dyDescent="0.25">
      <c r="A941" s="5" t="s">
        <v>22</v>
      </c>
      <c r="B941" t="s">
        <v>1225</v>
      </c>
      <c r="C941">
        <v>84</v>
      </c>
      <c r="D941" t="s">
        <v>1310</v>
      </c>
      <c r="E941">
        <v>0</v>
      </c>
      <c r="F941" t="s">
        <v>1311</v>
      </c>
      <c r="G941" t="s">
        <v>1571</v>
      </c>
      <c r="H941">
        <v>364</v>
      </c>
      <c r="I941">
        <v>0</v>
      </c>
      <c r="J941" s="69">
        <v>46293</v>
      </c>
      <c r="K941" t="s">
        <v>1571</v>
      </c>
    </row>
    <row r="942" spans="1:11" x14ac:dyDescent="0.25">
      <c r="A942" s="5" t="s">
        <v>22</v>
      </c>
      <c r="B942" t="s">
        <v>1225</v>
      </c>
      <c r="C942">
        <v>84</v>
      </c>
      <c r="D942" t="s">
        <v>1312</v>
      </c>
      <c r="E942">
        <v>0</v>
      </c>
      <c r="F942" t="s">
        <v>267</v>
      </c>
      <c r="G942" t="s">
        <v>1571</v>
      </c>
      <c r="H942">
        <v>364</v>
      </c>
      <c r="I942">
        <v>0</v>
      </c>
      <c r="J942" s="69">
        <v>46293</v>
      </c>
      <c r="K942" t="s">
        <v>1571</v>
      </c>
    </row>
    <row r="943" spans="1:11" x14ac:dyDescent="0.25">
      <c r="A943" s="5" t="s">
        <v>22</v>
      </c>
      <c r="B943" t="s">
        <v>1225</v>
      </c>
      <c r="C943">
        <v>86</v>
      </c>
      <c r="D943" t="s">
        <v>1313</v>
      </c>
      <c r="E943">
        <v>0</v>
      </c>
      <c r="F943" t="s">
        <v>395</v>
      </c>
      <c r="G943" t="s">
        <v>1571</v>
      </c>
      <c r="H943">
        <v>2184</v>
      </c>
      <c r="I943">
        <v>0</v>
      </c>
      <c r="J943" s="69">
        <v>46295</v>
      </c>
      <c r="K943" t="s">
        <v>1571</v>
      </c>
    </row>
    <row r="944" spans="1:11" x14ac:dyDescent="0.25">
      <c r="A944" s="5" t="s">
        <v>22</v>
      </c>
      <c r="B944" t="s">
        <v>1225</v>
      </c>
      <c r="C944">
        <v>108</v>
      </c>
      <c r="D944" t="s">
        <v>1314</v>
      </c>
      <c r="E944">
        <v>0</v>
      </c>
      <c r="F944" t="s">
        <v>1315</v>
      </c>
      <c r="G944" t="s">
        <v>1571</v>
      </c>
      <c r="H944">
        <v>182</v>
      </c>
      <c r="I944">
        <v>0</v>
      </c>
      <c r="J944" s="69">
        <v>46317</v>
      </c>
      <c r="K944" t="s">
        <v>1571</v>
      </c>
    </row>
    <row r="945" spans="1:11" x14ac:dyDescent="0.25">
      <c r="A945" s="5" t="s">
        <v>22</v>
      </c>
      <c r="B945" t="s">
        <v>1225</v>
      </c>
      <c r="C945">
        <v>114</v>
      </c>
      <c r="D945" t="s">
        <v>1316</v>
      </c>
      <c r="E945">
        <v>0</v>
      </c>
      <c r="F945" t="s">
        <v>1317</v>
      </c>
      <c r="G945" t="s">
        <v>1571</v>
      </c>
      <c r="H945">
        <v>0</v>
      </c>
      <c r="I945">
        <v>0</v>
      </c>
      <c r="J945" s="69">
        <v>46323</v>
      </c>
      <c r="K945" t="s">
        <v>1571</v>
      </c>
    </row>
    <row r="946" spans="1:11" x14ac:dyDescent="0.25">
      <c r="A946" s="5" t="s">
        <v>22</v>
      </c>
      <c r="B946" t="s">
        <v>1225</v>
      </c>
      <c r="C946">
        <v>139</v>
      </c>
      <c r="D946" t="s">
        <v>2218</v>
      </c>
      <c r="E946">
        <v>0</v>
      </c>
      <c r="F946" t="s">
        <v>2219</v>
      </c>
      <c r="G946">
        <v>6243</v>
      </c>
      <c r="H946">
        <v>182</v>
      </c>
      <c r="I946">
        <v>0</v>
      </c>
      <c r="J946" s="69">
        <v>46348</v>
      </c>
      <c r="K946" t="s">
        <v>1571</v>
      </c>
    </row>
    <row r="947" spans="1:11" x14ac:dyDescent="0.25">
      <c r="A947" s="5" t="s">
        <v>22</v>
      </c>
      <c r="B947" t="s">
        <v>1225</v>
      </c>
      <c r="C947">
        <v>175</v>
      </c>
      <c r="D947" t="s">
        <v>2218</v>
      </c>
      <c r="E947">
        <v>0</v>
      </c>
      <c r="F947" t="s">
        <v>2219</v>
      </c>
      <c r="G947">
        <v>1678</v>
      </c>
      <c r="H947">
        <v>182</v>
      </c>
      <c r="I947">
        <v>0</v>
      </c>
      <c r="J947" s="69">
        <v>46384</v>
      </c>
      <c r="K947" t="s">
        <v>1571</v>
      </c>
    </row>
    <row r="948" spans="1:11" x14ac:dyDescent="0.25">
      <c r="A948" s="5" t="s">
        <v>22</v>
      </c>
      <c r="B948" t="s">
        <v>1225</v>
      </c>
      <c r="C948">
        <v>200</v>
      </c>
      <c r="D948" t="s">
        <v>1318</v>
      </c>
      <c r="E948">
        <v>0</v>
      </c>
      <c r="F948" t="s">
        <v>1319</v>
      </c>
      <c r="G948" t="s">
        <v>2223</v>
      </c>
      <c r="H948">
        <v>364</v>
      </c>
      <c r="I948">
        <v>0</v>
      </c>
      <c r="J948" s="69">
        <v>46409</v>
      </c>
      <c r="K948" t="s">
        <v>1571</v>
      </c>
    </row>
    <row r="949" spans="1:11" x14ac:dyDescent="0.25">
      <c r="A949" s="5" t="s">
        <v>22</v>
      </c>
      <c r="B949" t="s">
        <v>1225</v>
      </c>
      <c r="C949">
        <v>237</v>
      </c>
      <c r="D949" t="s">
        <v>1320</v>
      </c>
      <c r="E949">
        <v>0</v>
      </c>
      <c r="F949" t="s">
        <v>1321</v>
      </c>
      <c r="G949" t="s">
        <v>2224</v>
      </c>
      <c r="H949">
        <v>0</v>
      </c>
      <c r="I949">
        <v>0</v>
      </c>
      <c r="J949" s="69">
        <v>46446</v>
      </c>
      <c r="K949" t="s">
        <v>1571</v>
      </c>
    </row>
    <row r="950" spans="1:11" x14ac:dyDescent="0.25">
      <c r="A950" s="5" t="s">
        <v>22</v>
      </c>
      <c r="B950" t="s">
        <v>1225</v>
      </c>
      <c r="C950">
        <v>241</v>
      </c>
      <c r="D950" t="s">
        <v>1322</v>
      </c>
      <c r="E950">
        <v>0</v>
      </c>
      <c r="F950" t="s">
        <v>1323</v>
      </c>
      <c r="G950">
        <v>46441</v>
      </c>
      <c r="H950">
        <v>0</v>
      </c>
      <c r="I950">
        <v>0</v>
      </c>
      <c r="J950" s="69">
        <v>46450</v>
      </c>
      <c r="K950" t="s">
        <v>1571</v>
      </c>
    </row>
    <row r="951" spans="1:11" x14ac:dyDescent="0.25">
      <c r="A951" s="5" t="s">
        <v>22</v>
      </c>
      <c r="B951" t="s">
        <v>1225</v>
      </c>
      <c r="C951">
        <v>249</v>
      </c>
      <c r="D951" t="s">
        <v>1324</v>
      </c>
      <c r="E951">
        <v>0</v>
      </c>
      <c r="F951" t="s">
        <v>1325</v>
      </c>
      <c r="G951" t="s">
        <v>1571</v>
      </c>
      <c r="H951">
        <v>365</v>
      </c>
      <c r="I951">
        <v>0</v>
      </c>
      <c r="J951" s="69">
        <v>46458</v>
      </c>
      <c r="K951" t="s">
        <v>1571</v>
      </c>
    </row>
    <row r="952" spans="1:11" x14ac:dyDescent="0.25">
      <c r="A952" s="5" t="s">
        <v>22</v>
      </c>
      <c r="B952" t="s">
        <v>1225</v>
      </c>
      <c r="C952">
        <v>249</v>
      </c>
      <c r="D952" t="s">
        <v>1326</v>
      </c>
      <c r="E952">
        <v>0</v>
      </c>
      <c r="F952" t="s">
        <v>1327</v>
      </c>
      <c r="G952" t="s">
        <v>1571</v>
      </c>
      <c r="H952">
        <v>365</v>
      </c>
      <c r="I952">
        <v>0</v>
      </c>
      <c r="J952" s="69">
        <v>46458</v>
      </c>
      <c r="K952" t="s">
        <v>1571</v>
      </c>
    </row>
    <row r="953" spans="1:11" x14ac:dyDescent="0.25">
      <c r="A953" s="5" t="s">
        <v>22</v>
      </c>
      <c r="B953" t="s">
        <v>1225</v>
      </c>
      <c r="C953">
        <v>263</v>
      </c>
      <c r="D953" t="s">
        <v>1328</v>
      </c>
      <c r="E953">
        <v>0</v>
      </c>
      <c r="F953" t="s">
        <v>269</v>
      </c>
      <c r="G953" t="s">
        <v>1986</v>
      </c>
      <c r="H953">
        <v>365</v>
      </c>
      <c r="I953">
        <v>0</v>
      </c>
      <c r="J953" s="69">
        <v>46472</v>
      </c>
      <c r="K953" t="s">
        <v>1571</v>
      </c>
    </row>
    <row r="954" spans="1:11" x14ac:dyDescent="0.25">
      <c r="A954" s="5" t="s">
        <v>22</v>
      </c>
      <c r="B954" t="s">
        <v>1225</v>
      </c>
      <c r="C954">
        <v>264</v>
      </c>
      <c r="D954" t="s">
        <v>1602</v>
      </c>
      <c r="E954">
        <v>0</v>
      </c>
      <c r="F954" t="s">
        <v>1603</v>
      </c>
      <c r="G954" t="s">
        <v>1571</v>
      </c>
      <c r="H954">
        <v>364</v>
      </c>
      <c r="I954">
        <v>0</v>
      </c>
      <c r="J954" s="69">
        <v>46473</v>
      </c>
      <c r="K954" t="s">
        <v>1571</v>
      </c>
    </row>
    <row r="955" spans="1:11" x14ac:dyDescent="0.25">
      <c r="A955" s="5" t="s">
        <v>22</v>
      </c>
      <c r="B955" t="s">
        <v>1225</v>
      </c>
      <c r="C955">
        <v>264</v>
      </c>
      <c r="D955" t="s">
        <v>1604</v>
      </c>
      <c r="E955">
        <v>0</v>
      </c>
      <c r="F955" t="s">
        <v>1605</v>
      </c>
      <c r="G955" t="s">
        <v>1571</v>
      </c>
      <c r="H955">
        <v>364</v>
      </c>
      <c r="I955">
        <v>0</v>
      </c>
      <c r="J955" s="69">
        <v>46473</v>
      </c>
      <c r="K955" t="s">
        <v>1571</v>
      </c>
    </row>
    <row r="956" spans="1:11" x14ac:dyDescent="0.25">
      <c r="A956" s="5" t="s">
        <v>22</v>
      </c>
      <c r="B956" t="s">
        <v>1225</v>
      </c>
      <c r="C956">
        <v>264</v>
      </c>
      <c r="D956" t="s">
        <v>1606</v>
      </c>
      <c r="E956">
        <v>0</v>
      </c>
      <c r="F956" t="s">
        <v>1607</v>
      </c>
      <c r="G956" t="s">
        <v>1571</v>
      </c>
      <c r="H956">
        <v>364</v>
      </c>
      <c r="I956">
        <v>0</v>
      </c>
      <c r="J956" s="69">
        <v>46473</v>
      </c>
      <c r="K956" t="s">
        <v>1571</v>
      </c>
    </row>
    <row r="957" spans="1:11" x14ac:dyDescent="0.25">
      <c r="A957" s="5" t="s">
        <v>22</v>
      </c>
      <c r="B957" t="s">
        <v>1225</v>
      </c>
      <c r="C957">
        <v>264</v>
      </c>
      <c r="D957" t="s">
        <v>1608</v>
      </c>
      <c r="E957">
        <v>0</v>
      </c>
      <c r="F957" t="s">
        <v>1609</v>
      </c>
      <c r="G957" t="s">
        <v>1571</v>
      </c>
      <c r="H957">
        <v>364</v>
      </c>
      <c r="I957">
        <v>0</v>
      </c>
      <c r="J957" s="69">
        <v>46473</v>
      </c>
      <c r="K957" t="s">
        <v>1571</v>
      </c>
    </row>
    <row r="958" spans="1:11" x14ac:dyDescent="0.25">
      <c r="A958" s="5" t="s">
        <v>22</v>
      </c>
      <c r="B958" t="s">
        <v>1225</v>
      </c>
      <c r="C958">
        <v>274</v>
      </c>
      <c r="D958" t="s">
        <v>1330</v>
      </c>
      <c r="E958">
        <v>0</v>
      </c>
      <c r="F958" t="s">
        <v>351</v>
      </c>
      <c r="G958" t="s">
        <v>1571</v>
      </c>
      <c r="H958">
        <v>728</v>
      </c>
      <c r="I958">
        <v>0</v>
      </c>
      <c r="J958" s="69">
        <v>46483</v>
      </c>
      <c r="K958" t="s">
        <v>1571</v>
      </c>
    </row>
    <row r="959" spans="1:11" x14ac:dyDescent="0.25">
      <c r="A959" s="5" t="s">
        <v>22</v>
      </c>
      <c r="B959" t="s">
        <v>1225</v>
      </c>
      <c r="C959">
        <v>274</v>
      </c>
      <c r="D959" t="s">
        <v>1331</v>
      </c>
      <c r="E959">
        <v>0</v>
      </c>
      <c r="F959" t="s">
        <v>352</v>
      </c>
      <c r="G959" t="s">
        <v>1571</v>
      </c>
      <c r="H959">
        <v>728</v>
      </c>
      <c r="I959">
        <v>0</v>
      </c>
      <c r="J959" s="69">
        <v>46483</v>
      </c>
      <c r="K959" t="s">
        <v>1571</v>
      </c>
    </row>
    <row r="960" spans="1:11" x14ac:dyDescent="0.25">
      <c r="A960" s="5" t="s">
        <v>22</v>
      </c>
      <c r="B960" t="s">
        <v>1225</v>
      </c>
      <c r="C960">
        <v>274</v>
      </c>
      <c r="D960" t="s">
        <v>1332</v>
      </c>
      <c r="E960">
        <v>0</v>
      </c>
      <c r="F960" t="s">
        <v>353</v>
      </c>
      <c r="G960" t="s">
        <v>1571</v>
      </c>
      <c r="H960">
        <v>728</v>
      </c>
      <c r="I960">
        <v>0</v>
      </c>
      <c r="J960" s="69">
        <v>46483</v>
      </c>
      <c r="K960" t="s">
        <v>1571</v>
      </c>
    </row>
    <row r="961" spans="1:11" x14ac:dyDescent="0.25">
      <c r="A961" s="5" t="s">
        <v>22</v>
      </c>
      <c r="B961" t="s">
        <v>1225</v>
      </c>
      <c r="C961">
        <v>274</v>
      </c>
      <c r="D961" t="s">
        <v>1333</v>
      </c>
      <c r="E961">
        <v>0</v>
      </c>
      <c r="F961" t="s">
        <v>355</v>
      </c>
      <c r="G961" t="s">
        <v>1571</v>
      </c>
      <c r="H961">
        <v>728</v>
      </c>
      <c r="I961">
        <v>0</v>
      </c>
      <c r="J961" s="69">
        <v>46483</v>
      </c>
      <c r="K961" t="s">
        <v>1571</v>
      </c>
    </row>
    <row r="962" spans="1:11" x14ac:dyDescent="0.25">
      <c r="A962" s="5" t="s">
        <v>22</v>
      </c>
      <c r="B962" t="s">
        <v>1225</v>
      </c>
      <c r="C962">
        <v>274</v>
      </c>
      <c r="D962" t="s">
        <v>1334</v>
      </c>
      <c r="E962">
        <v>0</v>
      </c>
      <c r="F962" t="s">
        <v>357</v>
      </c>
      <c r="G962" t="s">
        <v>1571</v>
      </c>
      <c r="H962">
        <v>728</v>
      </c>
      <c r="I962">
        <v>0</v>
      </c>
      <c r="J962" s="69">
        <v>46483</v>
      </c>
      <c r="K962" t="s">
        <v>1571</v>
      </c>
    </row>
    <row r="963" spans="1:11" x14ac:dyDescent="0.25">
      <c r="A963" s="5" t="s">
        <v>22</v>
      </c>
      <c r="B963" t="s">
        <v>1225</v>
      </c>
      <c r="C963">
        <v>274</v>
      </c>
      <c r="D963" t="s">
        <v>1336</v>
      </c>
      <c r="E963">
        <v>0</v>
      </c>
      <c r="F963" t="s">
        <v>1337</v>
      </c>
      <c r="G963" t="s">
        <v>1571</v>
      </c>
      <c r="H963">
        <v>728</v>
      </c>
      <c r="I963">
        <v>0</v>
      </c>
      <c r="J963" s="69">
        <v>46483</v>
      </c>
      <c r="K963" t="s">
        <v>1571</v>
      </c>
    </row>
    <row r="964" spans="1:11" x14ac:dyDescent="0.25">
      <c r="A964" s="5" t="s">
        <v>22</v>
      </c>
      <c r="B964" t="s">
        <v>1225</v>
      </c>
      <c r="C964">
        <v>274</v>
      </c>
      <c r="D964" t="s">
        <v>1338</v>
      </c>
      <c r="E964">
        <v>0</v>
      </c>
      <c r="F964" t="s">
        <v>363</v>
      </c>
      <c r="G964" t="s">
        <v>1571</v>
      </c>
      <c r="H964">
        <v>728</v>
      </c>
      <c r="I964">
        <v>0</v>
      </c>
      <c r="J964" s="69">
        <v>46483</v>
      </c>
      <c r="K964" t="s">
        <v>1571</v>
      </c>
    </row>
    <row r="965" spans="1:11" x14ac:dyDescent="0.25">
      <c r="A965" s="5" t="s">
        <v>22</v>
      </c>
      <c r="B965" t="s">
        <v>1225</v>
      </c>
      <c r="C965">
        <v>283</v>
      </c>
      <c r="D965" t="s">
        <v>1339</v>
      </c>
      <c r="E965">
        <v>0</v>
      </c>
      <c r="F965" t="s">
        <v>1340</v>
      </c>
      <c r="G965" t="s">
        <v>2225</v>
      </c>
      <c r="H965">
        <v>3640</v>
      </c>
      <c r="I965">
        <v>0</v>
      </c>
      <c r="J965" s="69">
        <v>46492</v>
      </c>
      <c r="K965" t="s">
        <v>1571</v>
      </c>
    </row>
    <row r="966" spans="1:11" x14ac:dyDescent="0.25">
      <c r="A966" s="5" t="s">
        <v>22</v>
      </c>
      <c r="B966" t="s">
        <v>1225</v>
      </c>
      <c r="C966">
        <v>295</v>
      </c>
      <c r="D966" t="s">
        <v>1341</v>
      </c>
      <c r="E966">
        <v>0</v>
      </c>
      <c r="F966" t="s">
        <v>1342</v>
      </c>
      <c r="G966" t="s">
        <v>1986</v>
      </c>
      <c r="H966">
        <v>364</v>
      </c>
      <c r="I966">
        <v>0</v>
      </c>
      <c r="J966" s="69">
        <v>46504</v>
      </c>
      <c r="K966" t="s">
        <v>1571</v>
      </c>
    </row>
    <row r="967" spans="1:11" x14ac:dyDescent="0.25">
      <c r="A967" s="5" t="s">
        <v>22</v>
      </c>
      <c r="B967" t="s">
        <v>1225</v>
      </c>
      <c r="C967">
        <v>303</v>
      </c>
      <c r="D967" t="s">
        <v>1246</v>
      </c>
      <c r="E967">
        <v>0</v>
      </c>
      <c r="F967" t="s">
        <v>254</v>
      </c>
      <c r="G967">
        <v>3175202</v>
      </c>
      <c r="H967">
        <v>364</v>
      </c>
      <c r="I967">
        <v>0</v>
      </c>
      <c r="J967" s="69">
        <v>46512</v>
      </c>
      <c r="K967" t="s">
        <v>1571</v>
      </c>
    </row>
    <row r="968" spans="1:11" x14ac:dyDescent="0.25">
      <c r="A968" s="5" t="s">
        <v>22</v>
      </c>
      <c r="B968" t="s">
        <v>1225</v>
      </c>
      <c r="C968">
        <v>303</v>
      </c>
      <c r="D968" t="s">
        <v>1247</v>
      </c>
      <c r="E968">
        <v>0</v>
      </c>
      <c r="F968" t="s">
        <v>256</v>
      </c>
      <c r="G968">
        <v>3175202</v>
      </c>
      <c r="H968">
        <v>364</v>
      </c>
      <c r="I968">
        <v>0</v>
      </c>
      <c r="J968" s="69">
        <v>46512</v>
      </c>
      <c r="K968" t="s">
        <v>1571</v>
      </c>
    </row>
    <row r="969" spans="1:11" x14ac:dyDescent="0.25">
      <c r="A969" s="5" t="s">
        <v>22</v>
      </c>
      <c r="B969" t="s">
        <v>1225</v>
      </c>
      <c r="C969">
        <v>303</v>
      </c>
      <c r="D969" t="s">
        <v>1237</v>
      </c>
      <c r="E969">
        <v>0</v>
      </c>
      <c r="F969" t="s">
        <v>250</v>
      </c>
      <c r="G969" t="s">
        <v>2159</v>
      </c>
      <c r="H969">
        <v>364</v>
      </c>
      <c r="I969">
        <v>0</v>
      </c>
      <c r="J969" s="69">
        <v>46512</v>
      </c>
      <c r="K969" t="s">
        <v>1571</v>
      </c>
    </row>
    <row r="970" spans="1:11" x14ac:dyDescent="0.25">
      <c r="A970" s="5" t="s">
        <v>22</v>
      </c>
      <c r="B970" t="s">
        <v>1225</v>
      </c>
      <c r="C970">
        <v>339</v>
      </c>
      <c r="D970" t="s">
        <v>1343</v>
      </c>
      <c r="E970">
        <v>0</v>
      </c>
      <c r="F970" t="s">
        <v>1344</v>
      </c>
      <c r="G970" t="s">
        <v>2225</v>
      </c>
      <c r="H970">
        <v>1820</v>
      </c>
      <c r="I970">
        <v>0</v>
      </c>
      <c r="J970" s="69">
        <v>46548</v>
      </c>
      <c r="K970" t="s">
        <v>1571</v>
      </c>
    </row>
    <row r="971" spans="1:11" x14ac:dyDescent="0.25">
      <c r="A971" s="5" t="s">
        <v>22</v>
      </c>
      <c r="B971" t="s">
        <v>1225</v>
      </c>
      <c r="C971">
        <v>360</v>
      </c>
      <c r="D971" t="s">
        <v>1345</v>
      </c>
      <c r="E971">
        <v>0</v>
      </c>
      <c r="F971" t="s">
        <v>1346</v>
      </c>
      <c r="G971" t="s">
        <v>1571</v>
      </c>
      <c r="H971">
        <v>728</v>
      </c>
      <c r="I971">
        <v>0</v>
      </c>
      <c r="J971" s="69">
        <v>46569</v>
      </c>
      <c r="K971" t="s">
        <v>1571</v>
      </c>
    </row>
    <row r="972" spans="1:11" x14ac:dyDescent="0.25">
      <c r="A972" s="5" t="s">
        <v>22</v>
      </c>
      <c r="B972" t="s">
        <v>1225</v>
      </c>
      <c r="C972">
        <v>360</v>
      </c>
      <c r="D972" t="s">
        <v>1237</v>
      </c>
      <c r="E972">
        <v>0</v>
      </c>
      <c r="F972" t="s">
        <v>250</v>
      </c>
      <c r="G972" t="s">
        <v>2157</v>
      </c>
      <c r="H972">
        <v>364</v>
      </c>
      <c r="I972">
        <v>0</v>
      </c>
      <c r="J972" s="69">
        <v>46569</v>
      </c>
      <c r="K972" t="s">
        <v>1571</v>
      </c>
    </row>
    <row r="973" spans="1:11" x14ac:dyDescent="0.25">
      <c r="A973" s="5" t="s">
        <v>22</v>
      </c>
      <c r="B973" t="s">
        <v>1225</v>
      </c>
      <c r="C973">
        <v>396</v>
      </c>
      <c r="D973" t="s">
        <v>2226</v>
      </c>
      <c r="E973">
        <v>0</v>
      </c>
      <c r="F973" t="s">
        <v>2227</v>
      </c>
      <c r="G973" t="s">
        <v>2206</v>
      </c>
      <c r="H973">
        <v>730</v>
      </c>
      <c r="I973">
        <v>0</v>
      </c>
      <c r="J973" s="69">
        <v>46605</v>
      </c>
      <c r="K973" t="s">
        <v>1571</v>
      </c>
    </row>
    <row r="974" spans="1:11" x14ac:dyDescent="0.25">
      <c r="A974" s="5" t="s">
        <v>22</v>
      </c>
      <c r="B974" t="s">
        <v>1225</v>
      </c>
      <c r="C974">
        <v>399</v>
      </c>
      <c r="D974" t="s">
        <v>1347</v>
      </c>
      <c r="E974">
        <v>0</v>
      </c>
      <c r="F974" t="s">
        <v>1348</v>
      </c>
      <c r="G974" t="s">
        <v>1571</v>
      </c>
      <c r="H974">
        <v>1092</v>
      </c>
      <c r="I974">
        <v>0</v>
      </c>
      <c r="J974" s="69">
        <v>46608</v>
      </c>
      <c r="K974" t="s">
        <v>1571</v>
      </c>
    </row>
    <row r="975" spans="1:11" x14ac:dyDescent="0.25">
      <c r="A975" s="5" t="s">
        <v>22</v>
      </c>
      <c r="B975" t="s">
        <v>1225</v>
      </c>
      <c r="C975">
        <v>422</v>
      </c>
      <c r="D975" t="s">
        <v>1349</v>
      </c>
      <c r="E975">
        <v>0</v>
      </c>
      <c r="F975" t="s">
        <v>1350</v>
      </c>
      <c r="G975" t="s">
        <v>2157</v>
      </c>
      <c r="H975">
        <v>1820</v>
      </c>
      <c r="I975">
        <v>0</v>
      </c>
      <c r="J975" s="69">
        <v>46631</v>
      </c>
      <c r="K975" t="s">
        <v>1571</v>
      </c>
    </row>
    <row r="976" spans="1:11" x14ac:dyDescent="0.25">
      <c r="A976" s="5" t="s">
        <v>22</v>
      </c>
      <c r="B976" t="s">
        <v>1225</v>
      </c>
      <c r="C976">
        <v>434</v>
      </c>
      <c r="D976" t="s">
        <v>1351</v>
      </c>
      <c r="E976">
        <v>0</v>
      </c>
      <c r="F976" t="s">
        <v>1352</v>
      </c>
      <c r="G976" t="s">
        <v>1571</v>
      </c>
      <c r="H976">
        <v>1092</v>
      </c>
      <c r="I976">
        <v>0</v>
      </c>
      <c r="J976" s="69">
        <v>46643</v>
      </c>
      <c r="K976" t="s">
        <v>1571</v>
      </c>
    </row>
    <row r="977" spans="1:11" x14ac:dyDescent="0.25">
      <c r="A977" s="5" t="s">
        <v>22</v>
      </c>
      <c r="B977" t="s">
        <v>1225</v>
      </c>
      <c r="C977">
        <v>434</v>
      </c>
      <c r="D977" t="s">
        <v>1353</v>
      </c>
      <c r="E977">
        <v>0</v>
      </c>
      <c r="F977" t="s">
        <v>376</v>
      </c>
      <c r="G977" t="s">
        <v>1571</v>
      </c>
      <c r="H977">
        <v>1092</v>
      </c>
      <c r="I977">
        <v>0</v>
      </c>
      <c r="J977" s="69">
        <v>46643</v>
      </c>
      <c r="K977" t="s">
        <v>1571</v>
      </c>
    </row>
    <row r="978" spans="1:11" x14ac:dyDescent="0.25">
      <c r="A978" s="5" t="s">
        <v>22</v>
      </c>
      <c r="B978" t="s">
        <v>1225</v>
      </c>
      <c r="C978">
        <v>434</v>
      </c>
      <c r="D978" t="s">
        <v>1354</v>
      </c>
      <c r="E978">
        <v>0</v>
      </c>
      <c r="F978" t="s">
        <v>377</v>
      </c>
      <c r="G978" t="s">
        <v>1571</v>
      </c>
      <c r="H978">
        <v>1092</v>
      </c>
      <c r="I978">
        <v>0</v>
      </c>
      <c r="J978" s="69">
        <v>46643</v>
      </c>
      <c r="K978" t="s">
        <v>1571</v>
      </c>
    </row>
    <row r="979" spans="1:11" x14ac:dyDescent="0.25">
      <c r="A979" s="5" t="s">
        <v>22</v>
      </c>
      <c r="B979" t="s">
        <v>1225</v>
      </c>
      <c r="C979">
        <v>434</v>
      </c>
      <c r="D979" t="s">
        <v>1355</v>
      </c>
      <c r="E979">
        <v>0</v>
      </c>
      <c r="F979" t="s">
        <v>378</v>
      </c>
      <c r="G979" t="s">
        <v>1571</v>
      </c>
      <c r="H979">
        <v>1092</v>
      </c>
      <c r="I979">
        <v>0</v>
      </c>
      <c r="J979" s="69">
        <v>46643</v>
      </c>
      <c r="K979" t="s">
        <v>1571</v>
      </c>
    </row>
    <row r="980" spans="1:11" x14ac:dyDescent="0.25">
      <c r="A980" s="5" t="s">
        <v>22</v>
      </c>
      <c r="B980" t="s">
        <v>1225</v>
      </c>
      <c r="C980">
        <v>434</v>
      </c>
      <c r="D980" t="s">
        <v>1356</v>
      </c>
      <c r="E980">
        <v>0</v>
      </c>
      <c r="F980" t="s">
        <v>379</v>
      </c>
      <c r="G980" t="s">
        <v>1571</v>
      </c>
      <c r="H980">
        <v>1092</v>
      </c>
      <c r="I980">
        <v>0</v>
      </c>
      <c r="J980" s="69">
        <v>46643</v>
      </c>
      <c r="K980" t="s">
        <v>1571</v>
      </c>
    </row>
    <row r="981" spans="1:11" x14ac:dyDescent="0.25">
      <c r="A981" s="5" t="s">
        <v>22</v>
      </c>
      <c r="B981" t="s">
        <v>1225</v>
      </c>
      <c r="C981">
        <v>434</v>
      </c>
      <c r="D981" t="s">
        <v>1357</v>
      </c>
      <c r="E981">
        <v>0</v>
      </c>
      <c r="F981" t="s">
        <v>380</v>
      </c>
      <c r="G981" t="s">
        <v>1571</v>
      </c>
      <c r="H981">
        <v>1092</v>
      </c>
      <c r="I981">
        <v>0</v>
      </c>
      <c r="J981" s="69">
        <v>46643</v>
      </c>
      <c r="K981" t="s">
        <v>1571</v>
      </c>
    </row>
    <row r="982" spans="1:11" x14ac:dyDescent="0.25">
      <c r="A982" s="5" t="s">
        <v>22</v>
      </c>
      <c r="B982" t="s">
        <v>1225</v>
      </c>
      <c r="C982">
        <v>434</v>
      </c>
      <c r="D982" t="s">
        <v>1358</v>
      </c>
      <c r="E982">
        <v>0</v>
      </c>
      <c r="F982" t="s">
        <v>381</v>
      </c>
      <c r="G982" t="s">
        <v>1571</v>
      </c>
      <c r="H982">
        <v>1092</v>
      </c>
      <c r="I982">
        <v>0</v>
      </c>
      <c r="J982" s="69">
        <v>46643</v>
      </c>
      <c r="K982" t="s">
        <v>1571</v>
      </c>
    </row>
    <row r="983" spans="1:11" x14ac:dyDescent="0.25">
      <c r="A983" s="5" t="s">
        <v>22</v>
      </c>
      <c r="B983" t="s">
        <v>1225</v>
      </c>
      <c r="C983">
        <v>434</v>
      </c>
      <c r="D983" t="s">
        <v>1359</v>
      </c>
      <c r="E983">
        <v>0</v>
      </c>
      <c r="F983" t="s">
        <v>382</v>
      </c>
      <c r="G983" t="s">
        <v>1571</v>
      </c>
      <c r="H983">
        <v>1092</v>
      </c>
      <c r="I983">
        <v>0</v>
      </c>
      <c r="J983" s="69">
        <v>46643</v>
      </c>
      <c r="K983" t="s">
        <v>1571</v>
      </c>
    </row>
    <row r="984" spans="1:11" x14ac:dyDescent="0.25">
      <c r="A984" s="5" t="s">
        <v>22</v>
      </c>
      <c r="B984" t="s">
        <v>1225</v>
      </c>
      <c r="C984">
        <v>434</v>
      </c>
      <c r="D984" t="s">
        <v>1360</v>
      </c>
      <c r="E984">
        <v>0</v>
      </c>
      <c r="F984" t="s">
        <v>383</v>
      </c>
      <c r="G984" t="s">
        <v>1571</v>
      </c>
      <c r="H984">
        <v>1092</v>
      </c>
      <c r="I984">
        <v>0</v>
      </c>
      <c r="J984" s="69">
        <v>46643</v>
      </c>
      <c r="K984" t="s">
        <v>1571</v>
      </c>
    </row>
    <row r="985" spans="1:11" x14ac:dyDescent="0.25">
      <c r="A985" s="5" t="s">
        <v>22</v>
      </c>
      <c r="B985" t="s">
        <v>1225</v>
      </c>
      <c r="C985">
        <v>434</v>
      </c>
      <c r="D985" t="s">
        <v>1361</v>
      </c>
      <c r="E985">
        <v>0</v>
      </c>
      <c r="F985" t="s">
        <v>384</v>
      </c>
      <c r="G985" t="s">
        <v>1571</v>
      </c>
      <c r="H985">
        <v>1092</v>
      </c>
      <c r="I985">
        <v>0</v>
      </c>
      <c r="J985" s="69">
        <v>46643</v>
      </c>
      <c r="K985" t="s">
        <v>1571</v>
      </c>
    </row>
    <row r="986" spans="1:11" x14ac:dyDescent="0.25">
      <c r="A986" s="5" t="s">
        <v>22</v>
      </c>
      <c r="B986" t="s">
        <v>1225</v>
      </c>
      <c r="C986">
        <v>434</v>
      </c>
      <c r="D986" t="s">
        <v>1362</v>
      </c>
      <c r="E986">
        <v>0</v>
      </c>
      <c r="F986" t="s">
        <v>1363</v>
      </c>
      <c r="G986" t="s">
        <v>1571</v>
      </c>
      <c r="H986">
        <v>1092</v>
      </c>
      <c r="I986">
        <v>0</v>
      </c>
      <c r="J986" s="69">
        <v>46643</v>
      </c>
      <c r="K986" t="s">
        <v>1571</v>
      </c>
    </row>
    <row r="987" spans="1:11" x14ac:dyDescent="0.25">
      <c r="A987" s="5" t="s">
        <v>22</v>
      </c>
      <c r="B987" t="s">
        <v>1225</v>
      </c>
      <c r="C987">
        <v>434</v>
      </c>
      <c r="D987" t="s">
        <v>1364</v>
      </c>
      <c r="E987">
        <v>0</v>
      </c>
      <c r="F987" t="s">
        <v>409</v>
      </c>
      <c r="G987" t="s">
        <v>1571</v>
      </c>
      <c r="H987">
        <v>1092</v>
      </c>
      <c r="I987">
        <v>0</v>
      </c>
      <c r="J987" s="69">
        <v>46643</v>
      </c>
      <c r="K987" t="s">
        <v>1571</v>
      </c>
    </row>
    <row r="988" spans="1:11" x14ac:dyDescent="0.25">
      <c r="A988" s="5" t="s">
        <v>22</v>
      </c>
      <c r="B988" t="s">
        <v>1225</v>
      </c>
      <c r="C988">
        <v>434</v>
      </c>
      <c r="D988" t="s">
        <v>1365</v>
      </c>
      <c r="E988">
        <v>0</v>
      </c>
      <c r="F988" t="s">
        <v>411</v>
      </c>
      <c r="G988" t="s">
        <v>1571</v>
      </c>
      <c r="H988">
        <v>1092</v>
      </c>
      <c r="I988">
        <v>0</v>
      </c>
      <c r="J988" s="69">
        <v>46643</v>
      </c>
      <c r="K988" t="s">
        <v>1571</v>
      </c>
    </row>
    <row r="989" spans="1:11" x14ac:dyDescent="0.25">
      <c r="A989" s="5" t="s">
        <v>22</v>
      </c>
      <c r="B989" t="s">
        <v>1225</v>
      </c>
      <c r="C989">
        <v>434</v>
      </c>
      <c r="D989" t="s">
        <v>1922</v>
      </c>
      <c r="E989">
        <v>0</v>
      </c>
      <c r="F989" t="s">
        <v>1923</v>
      </c>
      <c r="G989" t="s">
        <v>1571</v>
      </c>
      <c r="H989">
        <v>1092</v>
      </c>
      <c r="I989">
        <v>0</v>
      </c>
      <c r="J989" s="69">
        <v>46643</v>
      </c>
      <c r="K989" t="s">
        <v>1571</v>
      </c>
    </row>
    <row r="990" spans="1:11" x14ac:dyDescent="0.25">
      <c r="A990" s="5" t="s">
        <v>22</v>
      </c>
      <c r="B990" t="s">
        <v>1225</v>
      </c>
      <c r="C990">
        <v>434</v>
      </c>
      <c r="D990" t="s">
        <v>1366</v>
      </c>
      <c r="E990">
        <v>0</v>
      </c>
      <c r="F990" t="s">
        <v>1367</v>
      </c>
      <c r="G990" t="s">
        <v>1571</v>
      </c>
      <c r="H990">
        <v>1092</v>
      </c>
      <c r="I990">
        <v>0</v>
      </c>
      <c r="J990" s="69">
        <v>46643</v>
      </c>
      <c r="K990" t="s">
        <v>1571</v>
      </c>
    </row>
    <row r="991" spans="1:11" x14ac:dyDescent="0.25">
      <c r="A991" s="5" t="s">
        <v>22</v>
      </c>
      <c r="B991" t="s">
        <v>1225</v>
      </c>
      <c r="C991">
        <v>434</v>
      </c>
      <c r="D991" t="s">
        <v>2228</v>
      </c>
      <c r="E991">
        <v>0</v>
      </c>
      <c r="F991" t="s">
        <v>2229</v>
      </c>
      <c r="G991" t="s">
        <v>1986</v>
      </c>
      <c r="H991">
        <v>1092</v>
      </c>
      <c r="I991">
        <v>0</v>
      </c>
      <c r="J991" s="69">
        <v>46643</v>
      </c>
      <c r="K991" t="s">
        <v>1571</v>
      </c>
    </row>
    <row r="992" spans="1:11" x14ac:dyDescent="0.25">
      <c r="A992" s="5" t="s">
        <v>22</v>
      </c>
      <c r="B992" t="s">
        <v>1225</v>
      </c>
      <c r="C992">
        <v>434</v>
      </c>
      <c r="D992" t="s">
        <v>1368</v>
      </c>
      <c r="E992">
        <v>0</v>
      </c>
      <c r="F992" t="s">
        <v>1369</v>
      </c>
      <c r="G992" t="s">
        <v>1986</v>
      </c>
      <c r="H992">
        <v>1092</v>
      </c>
      <c r="I992">
        <v>0</v>
      </c>
      <c r="J992" s="69">
        <v>46643</v>
      </c>
      <c r="K992" t="s">
        <v>1571</v>
      </c>
    </row>
    <row r="993" spans="1:11" x14ac:dyDescent="0.25">
      <c r="A993" s="5" t="s">
        <v>22</v>
      </c>
      <c r="B993" t="s">
        <v>1225</v>
      </c>
      <c r="C993">
        <v>434</v>
      </c>
      <c r="D993" t="s">
        <v>1370</v>
      </c>
      <c r="E993">
        <v>0</v>
      </c>
      <c r="F993" t="s">
        <v>319</v>
      </c>
      <c r="G993" t="s">
        <v>2037</v>
      </c>
      <c r="H993">
        <v>1092</v>
      </c>
      <c r="I993">
        <v>0</v>
      </c>
      <c r="J993" s="69">
        <v>46643</v>
      </c>
      <c r="K993" t="s">
        <v>1571</v>
      </c>
    </row>
    <row r="994" spans="1:11" x14ac:dyDescent="0.25">
      <c r="A994" s="5" t="s">
        <v>22</v>
      </c>
      <c r="B994" t="s">
        <v>1225</v>
      </c>
      <c r="C994">
        <v>435</v>
      </c>
      <c r="D994" t="s">
        <v>1371</v>
      </c>
      <c r="E994">
        <v>0</v>
      </c>
      <c r="F994" t="s">
        <v>1372</v>
      </c>
      <c r="G994" t="s">
        <v>1571</v>
      </c>
      <c r="H994">
        <v>1092</v>
      </c>
      <c r="I994">
        <v>0</v>
      </c>
      <c r="J994" s="69">
        <v>46644</v>
      </c>
      <c r="K994" t="s">
        <v>1571</v>
      </c>
    </row>
    <row r="995" spans="1:11" x14ac:dyDescent="0.25">
      <c r="A995" s="5" t="s">
        <v>22</v>
      </c>
      <c r="B995" t="s">
        <v>1225</v>
      </c>
      <c r="C995">
        <v>435</v>
      </c>
      <c r="D995" t="s">
        <v>1373</v>
      </c>
      <c r="E995">
        <v>0</v>
      </c>
      <c r="F995" t="s">
        <v>1374</v>
      </c>
      <c r="G995" t="s">
        <v>1571</v>
      </c>
      <c r="H995">
        <v>1092</v>
      </c>
      <c r="I995">
        <v>0</v>
      </c>
      <c r="J995" s="69">
        <v>46644</v>
      </c>
      <c r="K995" t="s">
        <v>1571</v>
      </c>
    </row>
    <row r="996" spans="1:11" x14ac:dyDescent="0.25">
      <c r="A996" s="5" t="s">
        <v>22</v>
      </c>
      <c r="B996" t="s">
        <v>1225</v>
      </c>
      <c r="C996">
        <v>437</v>
      </c>
      <c r="D996" t="s">
        <v>1375</v>
      </c>
      <c r="E996">
        <v>0</v>
      </c>
      <c r="F996" t="s">
        <v>1376</v>
      </c>
      <c r="G996" t="s">
        <v>1571</v>
      </c>
      <c r="H996">
        <v>0</v>
      </c>
      <c r="I996">
        <v>0</v>
      </c>
      <c r="J996" s="69">
        <v>46646</v>
      </c>
      <c r="K996" t="s">
        <v>1571</v>
      </c>
    </row>
    <row r="997" spans="1:11" x14ac:dyDescent="0.25">
      <c r="A997" s="5" t="s">
        <v>22</v>
      </c>
      <c r="B997" t="s">
        <v>1225</v>
      </c>
      <c r="C997">
        <v>437</v>
      </c>
      <c r="D997" t="s">
        <v>1377</v>
      </c>
      <c r="E997">
        <v>0</v>
      </c>
      <c r="F997" t="s">
        <v>375</v>
      </c>
      <c r="G997" t="s">
        <v>1571</v>
      </c>
      <c r="H997">
        <v>546</v>
      </c>
      <c r="I997">
        <v>0</v>
      </c>
      <c r="J997" s="69">
        <v>46646</v>
      </c>
      <c r="K997" t="s">
        <v>1571</v>
      </c>
    </row>
    <row r="998" spans="1:11" x14ac:dyDescent="0.25">
      <c r="A998" s="5" t="s">
        <v>22</v>
      </c>
      <c r="B998" t="s">
        <v>1225</v>
      </c>
      <c r="C998">
        <v>442</v>
      </c>
      <c r="D998" t="s">
        <v>1378</v>
      </c>
      <c r="E998">
        <v>0</v>
      </c>
      <c r="F998" t="s">
        <v>1379</v>
      </c>
      <c r="G998" t="s">
        <v>1571</v>
      </c>
      <c r="H998">
        <v>1092</v>
      </c>
      <c r="I998">
        <v>0</v>
      </c>
      <c r="J998" s="69">
        <v>46651</v>
      </c>
      <c r="K998" t="s">
        <v>1571</v>
      </c>
    </row>
    <row r="999" spans="1:11" x14ac:dyDescent="0.25">
      <c r="A999" s="5" t="s">
        <v>22</v>
      </c>
      <c r="B999" t="s">
        <v>1225</v>
      </c>
      <c r="C999">
        <v>442</v>
      </c>
      <c r="D999" t="s">
        <v>1380</v>
      </c>
      <c r="E999">
        <v>0</v>
      </c>
      <c r="F999" t="s">
        <v>413</v>
      </c>
      <c r="G999" t="s">
        <v>1571</v>
      </c>
      <c r="H999">
        <v>1092</v>
      </c>
      <c r="I999">
        <v>0</v>
      </c>
      <c r="J999" s="69">
        <v>46651</v>
      </c>
      <c r="K999" t="s">
        <v>1571</v>
      </c>
    </row>
    <row r="1000" spans="1:11" x14ac:dyDescent="0.25">
      <c r="A1000" s="5" t="s">
        <v>22</v>
      </c>
      <c r="B1000" t="s">
        <v>1225</v>
      </c>
      <c r="C1000">
        <v>444</v>
      </c>
      <c r="D1000" t="s">
        <v>1381</v>
      </c>
      <c r="E1000">
        <v>0</v>
      </c>
      <c r="F1000" t="s">
        <v>1382</v>
      </c>
      <c r="G1000" t="s">
        <v>1571</v>
      </c>
      <c r="H1000">
        <v>1092</v>
      </c>
      <c r="I1000">
        <v>0</v>
      </c>
      <c r="J1000" s="69">
        <v>46653</v>
      </c>
      <c r="K1000" t="s">
        <v>1571</v>
      </c>
    </row>
    <row r="1001" spans="1:11" x14ac:dyDescent="0.25">
      <c r="A1001" s="5" t="s">
        <v>22</v>
      </c>
      <c r="B1001" t="s">
        <v>1225</v>
      </c>
      <c r="C1001">
        <v>444</v>
      </c>
      <c r="D1001" t="s">
        <v>1383</v>
      </c>
      <c r="E1001">
        <v>0</v>
      </c>
      <c r="F1001" t="s">
        <v>407</v>
      </c>
      <c r="G1001" t="s">
        <v>1571</v>
      </c>
      <c r="H1001">
        <v>1092</v>
      </c>
      <c r="I1001">
        <v>0</v>
      </c>
      <c r="J1001" s="69">
        <v>46653</v>
      </c>
      <c r="K1001" t="s">
        <v>1571</v>
      </c>
    </row>
    <row r="1002" spans="1:11" x14ac:dyDescent="0.25">
      <c r="A1002" s="5" t="s">
        <v>22</v>
      </c>
      <c r="B1002" t="s">
        <v>1225</v>
      </c>
      <c r="C1002">
        <v>468</v>
      </c>
      <c r="D1002" t="s">
        <v>1267</v>
      </c>
      <c r="E1002">
        <v>0</v>
      </c>
      <c r="F1002" t="s">
        <v>1268</v>
      </c>
      <c r="G1002">
        <v>1500224</v>
      </c>
      <c r="H1002">
        <v>4368</v>
      </c>
      <c r="I1002">
        <v>0</v>
      </c>
      <c r="J1002" s="69">
        <v>46677</v>
      </c>
      <c r="K1002" t="s">
        <v>1571</v>
      </c>
    </row>
    <row r="1003" spans="1:11" x14ac:dyDescent="0.25">
      <c r="A1003" s="5" t="s">
        <v>22</v>
      </c>
      <c r="B1003" t="s">
        <v>1225</v>
      </c>
      <c r="C1003">
        <v>473</v>
      </c>
      <c r="D1003" t="s">
        <v>1384</v>
      </c>
      <c r="E1003">
        <v>0</v>
      </c>
      <c r="F1003" t="s">
        <v>1385</v>
      </c>
      <c r="G1003" t="s">
        <v>1571</v>
      </c>
      <c r="H1003">
        <v>728</v>
      </c>
      <c r="I1003">
        <v>0</v>
      </c>
      <c r="J1003" s="69">
        <v>46682</v>
      </c>
      <c r="K1003" t="s">
        <v>1571</v>
      </c>
    </row>
    <row r="1004" spans="1:11" x14ac:dyDescent="0.25">
      <c r="A1004" s="5" t="s">
        <v>22</v>
      </c>
      <c r="B1004" t="s">
        <v>1225</v>
      </c>
      <c r="C1004">
        <v>558</v>
      </c>
      <c r="D1004" t="s">
        <v>1386</v>
      </c>
      <c r="E1004">
        <v>0</v>
      </c>
      <c r="F1004" t="s">
        <v>1387</v>
      </c>
      <c r="G1004" t="s">
        <v>2089</v>
      </c>
      <c r="H1004">
        <v>730</v>
      </c>
      <c r="I1004">
        <v>0</v>
      </c>
      <c r="J1004" s="69">
        <v>46767</v>
      </c>
      <c r="K1004" t="s">
        <v>1571</v>
      </c>
    </row>
    <row r="1005" spans="1:11" x14ac:dyDescent="0.25">
      <c r="A1005" s="5" t="s">
        <v>22</v>
      </c>
      <c r="B1005" t="s">
        <v>1225</v>
      </c>
      <c r="C1005">
        <v>575</v>
      </c>
      <c r="D1005" t="s">
        <v>1349</v>
      </c>
      <c r="E1005">
        <v>0</v>
      </c>
      <c r="F1005" t="s">
        <v>1350</v>
      </c>
      <c r="G1005" t="s">
        <v>2159</v>
      </c>
      <c r="H1005">
        <v>1820</v>
      </c>
      <c r="I1005">
        <v>0</v>
      </c>
      <c r="J1005" s="69">
        <v>46784</v>
      </c>
      <c r="K1005" t="s">
        <v>1571</v>
      </c>
    </row>
    <row r="1006" spans="1:11" x14ac:dyDescent="0.25">
      <c r="A1006" s="5" t="s">
        <v>22</v>
      </c>
      <c r="B1006" t="s">
        <v>1225</v>
      </c>
      <c r="C1006">
        <v>603</v>
      </c>
      <c r="D1006" t="s">
        <v>1388</v>
      </c>
      <c r="E1006">
        <v>0</v>
      </c>
      <c r="F1006" t="s">
        <v>1389</v>
      </c>
      <c r="G1006" t="s">
        <v>1571</v>
      </c>
      <c r="H1006">
        <v>0</v>
      </c>
      <c r="I1006">
        <v>0</v>
      </c>
      <c r="J1006" s="69">
        <v>46812</v>
      </c>
      <c r="K1006" t="s">
        <v>1571</v>
      </c>
    </row>
    <row r="1007" spans="1:11" x14ac:dyDescent="0.25">
      <c r="A1007" s="5" t="s">
        <v>22</v>
      </c>
      <c r="B1007" t="s">
        <v>1225</v>
      </c>
      <c r="C1007">
        <v>638</v>
      </c>
      <c r="D1007" t="s">
        <v>1329</v>
      </c>
      <c r="E1007">
        <v>0</v>
      </c>
      <c r="F1007" t="s">
        <v>350</v>
      </c>
      <c r="G1007" t="s">
        <v>1571</v>
      </c>
      <c r="H1007">
        <v>1092</v>
      </c>
      <c r="I1007">
        <v>0</v>
      </c>
      <c r="J1007" s="69">
        <v>46847</v>
      </c>
      <c r="K1007" t="s">
        <v>1571</v>
      </c>
    </row>
    <row r="1008" spans="1:11" x14ac:dyDescent="0.25">
      <c r="A1008" s="5" t="s">
        <v>22</v>
      </c>
      <c r="B1008" t="s">
        <v>1225</v>
      </c>
      <c r="C1008">
        <v>721</v>
      </c>
      <c r="D1008" t="s">
        <v>1390</v>
      </c>
      <c r="E1008">
        <v>0</v>
      </c>
      <c r="F1008" t="s">
        <v>1391</v>
      </c>
      <c r="G1008" t="s">
        <v>1571</v>
      </c>
      <c r="H1008">
        <v>1092</v>
      </c>
      <c r="I1008">
        <v>0</v>
      </c>
      <c r="J1008" s="69">
        <v>46930</v>
      </c>
      <c r="K1008" t="s">
        <v>1571</v>
      </c>
    </row>
    <row r="1009" spans="1:11" x14ac:dyDescent="0.25">
      <c r="A1009" s="5" t="s">
        <v>22</v>
      </c>
      <c r="B1009" t="s">
        <v>1225</v>
      </c>
      <c r="C1009">
        <v>726</v>
      </c>
      <c r="D1009" t="s">
        <v>1392</v>
      </c>
      <c r="E1009">
        <v>0</v>
      </c>
      <c r="F1009" t="s">
        <v>1393</v>
      </c>
      <c r="G1009" t="s">
        <v>2223</v>
      </c>
      <c r="H1009">
        <v>1820</v>
      </c>
      <c r="I1009">
        <v>0</v>
      </c>
      <c r="J1009" s="69">
        <v>46935</v>
      </c>
      <c r="K1009" t="s">
        <v>1571</v>
      </c>
    </row>
    <row r="1010" spans="1:11" x14ac:dyDescent="0.25">
      <c r="A1010" s="5" t="s">
        <v>22</v>
      </c>
      <c r="B1010" t="s">
        <v>1225</v>
      </c>
      <c r="C1010">
        <v>798</v>
      </c>
      <c r="D1010" t="s">
        <v>1394</v>
      </c>
      <c r="E1010">
        <v>0</v>
      </c>
      <c r="F1010" t="s">
        <v>404</v>
      </c>
      <c r="G1010" t="s">
        <v>1571</v>
      </c>
      <c r="H1010">
        <v>1456</v>
      </c>
      <c r="I1010">
        <v>0</v>
      </c>
      <c r="J1010" s="69">
        <v>47007</v>
      </c>
      <c r="K1010" t="s">
        <v>1571</v>
      </c>
    </row>
    <row r="1011" spans="1:11" x14ac:dyDescent="0.25">
      <c r="A1011" s="5" t="s">
        <v>22</v>
      </c>
      <c r="B1011" t="s">
        <v>1225</v>
      </c>
      <c r="C1011">
        <v>798</v>
      </c>
      <c r="D1011" t="s">
        <v>1397</v>
      </c>
      <c r="E1011">
        <v>0</v>
      </c>
      <c r="F1011" t="s">
        <v>279</v>
      </c>
      <c r="G1011" t="s">
        <v>1571</v>
      </c>
      <c r="H1011">
        <v>1456</v>
      </c>
      <c r="I1011">
        <v>0</v>
      </c>
      <c r="J1011" s="69">
        <v>47007</v>
      </c>
      <c r="K1011" t="s">
        <v>1571</v>
      </c>
    </row>
    <row r="1012" spans="1:11" x14ac:dyDescent="0.25">
      <c r="A1012" s="5" t="s">
        <v>22</v>
      </c>
      <c r="B1012" t="s">
        <v>1225</v>
      </c>
      <c r="C1012">
        <v>798</v>
      </c>
      <c r="D1012" t="s">
        <v>1398</v>
      </c>
      <c r="E1012">
        <v>0</v>
      </c>
      <c r="F1012" t="s">
        <v>1399</v>
      </c>
      <c r="G1012" t="s">
        <v>1571</v>
      </c>
      <c r="H1012">
        <v>1456</v>
      </c>
      <c r="I1012">
        <v>0</v>
      </c>
      <c r="J1012" s="69">
        <v>47007</v>
      </c>
      <c r="K1012" t="s">
        <v>1571</v>
      </c>
    </row>
    <row r="1013" spans="1:11" x14ac:dyDescent="0.25">
      <c r="A1013" s="5" t="s">
        <v>22</v>
      </c>
      <c r="B1013" t="s">
        <v>1225</v>
      </c>
      <c r="C1013">
        <v>798</v>
      </c>
      <c r="D1013" t="s">
        <v>1400</v>
      </c>
      <c r="E1013">
        <v>0</v>
      </c>
      <c r="F1013" t="s">
        <v>283</v>
      </c>
      <c r="G1013" t="s">
        <v>1571</v>
      </c>
      <c r="H1013">
        <v>1456</v>
      </c>
      <c r="I1013">
        <v>0</v>
      </c>
      <c r="J1013" s="69">
        <v>47007</v>
      </c>
      <c r="K1013" t="s">
        <v>1571</v>
      </c>
    </row>
    <row r="1014" spans="1:11" x14ac:dyDescent="0.25">
      <c r="A1014" s="5" t="s">
        <v>22</v>
      </c>
      <c r="B1014" t="s">
        <v>1225</v>
      </c>
      <c r="C1014">
        <v>798</v>
      </c>
      <c r="D1014" t="s">
        <v>1401</v>
      </c>
      <c r="E1014">
        <v>0</v>
      </c>
      <c r="F1014" t="s">
        <v>1402</v>
      </c>
      <c r="G1014" t="s">
        <v>1571</v>
      </c>
      <c r="H1014">
        <v>1456</v>
      </c>
      <c r="I1014">
        <v>0</v>
      </c>
      <c r="J1014" s="69">
        <v>47007</v>
      </c>
      <c r="K1014" t="s">
        <v>1571</v>
      </c>
    </row>
    <row r="1015" spans="1:11" x14ac:dyDescent="0.25">
      <c r="A1015" s="5" t="s">
        <v>22</v>
      </c>
      <c r="B1015" t="s">
        <v>1225</v>
      </c>
      <c r="C1015">
        <v>798</v>
      </c>
      <c r="D1015" t="s">
        <v>1404</v>
      </c>
      <c r="E1015">
        <v>0</v>
      </c>
      <c r="F1015" t="s">
        <v>1405</v>
      </c>
      <c r="G1015" t="s">
        <v>1571</v>
      </c>
      <c r="H1015">
        <v>1456</v>
      </c>
      <c r="I1015">
        <v>0</v>
      </c>
      <c r="J1015" s="69">
        <v>47007</v>
      </c>
      <c r="K1015" t="s">
        <v>1571</v>
      </c>
    </row>
    <row r="1016" spans="1:11" x14ac:dyDescent="0.25">
      <c r="A1016" s="5" t="s">
        <v>22</v>
      </c>
      <c r="B1016" t="s">
        <v>1225</v>
      </c>
      <c r="C1016">
        <v>798</v>
      </c>
      <c r="D1016" t="s">
        <v>1406</v>
      </c>
      <c r="E1016">
        <v>0</v>
      </c>
      <c r="F1016" t="s">
        <v>289</v>
      </c>
      <c r="G1016" t="s">
        <v>1571</v>
      </c>
      <c r="H1016">
        <v>1456</v>
      </c>
      <c r="I1016">
        <v>0</v>
      </c>
      <c r="J1016" s="69">
        <v>47007</v>
      </c>
      <c r="K1016" t="s">
        <v>1571</v>
      </c>
    </row>
    <row r="1017" spans="1:11" x14ac:dyDescent="0.25">
      <c r="A1017" s="5" t="s">
        <v>22</v>
      </c>
      <c r="B1017" t="s">
        <v>1225</v>
      </c>
      <c r="C1017">
        <v>798</v>
      </c>
      <c r="D1017" t="s">
        <v>1410</v>
      </c>
      <c r="E1017">
        <v>0</v>
      </c>
      <c r="F1017" t="s">
        <v>297</v>
      </c>
      <c r="G1017" t="s">
        <v>1571</v>
      </c>
      <c r="H1017">
        <v>1456</v>
      </c>
      <c r="I1017">
        <v>0</v>
      </c>
      <c r="J1017" s="69">
        <v>47007</v>
      </c>
      <c r="K1017" t="s">
        <v>1571</v>
      </c>
    </row>
    <row r="1018" spans="1:11" x14ac:dyDescent="0.25">
      <c r="A1018" s="5" t="s">
        <v>22</v>
      </c>
      <c r="B1018" t="s">
        <v>1225</v>
      </c>
      <c r="C1018">
        <v>798</v>
      </c>
      <c r="D1018" t="s">
        <v>1411</v>
      </c>
      <c r="E1018">
        <v>0</v>
      </c>
      <c r="F1018" t="s">
        <v>299</v>
      </c>
      <c r="G1018" t="s">
        <v>1571</v>
      </c>
      <c r="H1018">
        <v>1456</v>
      </c>
      <c r="I1018">
        <v>0</v>
      </c>
      <c r="J1018" s="69">
        <v>47007</v>
      </c>
      <c r="K1018" t="s">
        <v>1571</v>
      </c>
    </row>
    <row r="1019" spans="1:11" x14ac:dyDescent="0.25">
      <c r="A1019" s="5" t="s">
        <v>22</v>
      </c>
      <c r="B1019" t="s">
        <v>1225</v>
      </c>
      <c r="C1019">
        <v>798</v>
      </c>
      <c r="D1019" t="s">
        <v>1412</v>
      </c>
      <c r="E1019">
        <v>0</v>
      </c>
      <c r="F1019" t="s">
        <v>301</v>
      </c>
      <c r="G1019" t="s">
        <v>1571</v>
      </c>
      <c r="H1019">
        <v>1456</v>
      </c>
      <c r="I1019">
        <v>0</v>
      </c>
      <c r="J1019" s="69">
        <v>47007</v>
      </c>
      <c r="K1019" t="s">
        <v>1571</v>
      </c>
    </row>
    <row r="1020" spans="1:11" x14ac:dyDescent="0.25">
      <c r="A1020" s="5" t="s">
        <v>22</v>
      </c>
      <c r="B1020" t="s">
        <v>1225</v>
      </c>
      <c r="C1020">
        <v>798</v>
      </c>
      <c r="D1020" t="s">
        <v>1413</v>
      </c>
      <c r="E1020">
        <v>0</v>
      </c>
      <c r="F1020" t="s">
        <v>303</v>
      </c>
      <c r="G1020" t="s">
        <v>1571</v>
      </c>
      <c r="H1020">
        <v>1456</v>
      </c>
      <c r="I1020">
        <v>0</v>
      </c>
      <c r="J1020" s="69">
        <v>47007</v>
      </c>
      <c r="K1020" t="s">
        <v>1571</v>
      </c>
    </row>
    <row r="1021" spans="1:11" x14ac:dyDescent="0.25">
      <c r="A1021" s="5" t="s">
        <v>22</v>
      </c>
      <c r="B1021" t="s">
        <v>1225</v>
      </c>
      <c r="C1021">
        <v>798</v>
      </c>
      <c r="D1021" t="s">
        <v>1414</v>
      </c>
      <c r="E1021">
        <v>0</v>
      </c>
      <c r="F1021" t="s">
        <v>305</v>
      </c>
      <c r="G1021" t="s">
        <v>1571</v>
      </c>
      <c r="H1021">
        <v>1456</v>
      </c>
      <c r="I1021">
        <v>0</v>
      </c>
      <c r="J1021" s="69">
        <v>47007</v>
      </c>
      <c r="K1021" t="s">
        <v>1571</v>
      </c>
    </row>
    <row r="1022" spans="1:11" x14ac:dyDescent="0.25">
      <c r="A1022" s="5" t="s">
        <v>22</v>
      </c>
      <c r="B1022" t="s">
        <v>1225</v>
      </c>
      <c r="C1022">
        <v>798</v>
      </c>
      <c r="D1022" t="s">
        <v>1415</v>
      </c>
      <c r="E1022">
        <v>0</v>
      </c>
      <c r="F1022" t="s">
        <v>1416</v>
      </c>
      <c r="G1022" t="s">
        <v>1571</v>
      </c>
      <c r="H1022">
        <v>1456</v>
      </c>
      <c r="I1022">
        <v>0</v>
      </c>
      <c r="J1022" s="69">
        <v>47007</v>
      </c>
      <c r="K1022" t="s">
        <v>1571</v>
      </c>
    </row>
    <row r="1023" spans="1:11" x14ac:dyDescent="0.25">
      <c r="A1023" s="5" t="s">
        <v>22</v>
      </c>
      <c r="B1023" t="s">
        <v>1225</v>
      </c>
      <c r="C1023">
        <v>813</v>
      </c>
      <c r="D1023" t="s">
        <v>1418</v>
      </c>
      <c r="E1023">
        <v>0</v>
      </c>
      <c r="F1023" t="s">
        <v>1419</v>
      </c>
      <c r="G1023" t="s">
        <v>1571</v>
      </c>
      <c r="H1023">
        <v>1456</v>
      </c>
      <c r="I1023">
        <v>0</v>
      </c>
      <c r="J1023" s="69">
        <v>47022</v>
      </c>
      <c r="K1023" t="s">
        <v>1571</v>
      </c>
    </row>
    <row r="1024" spans="1:11" x14ac:dyDescent="0.25">
      <c r="A1024" s="5" t="s">
        <v>22</v>
      </c>
      <c r="B1024" t="s">
        <v>1225</v>
      </c>
      <c r="C1024">
        <v>837</v>
      </c>
      <c r="D1024" t="s">
        <v>1343</v>
      </c>
      <c r="E1024">
        <v>0</v>
      </c>
      <c r="F1024" t="s">
        <v>1344</v>
      </c>
      <c r="G1024" t="s">
        <v>2230</v>
      </c>
      <c r="H1024">
        <v>1820</v>
      </c>
      <c r="I1024">
        <v>0</v>
      </c>
      <c r="J1024" s="69">
        <v>47046</v>
      </c>
      <c r="K1024" t="s">
        <v>1571</v>
      </c>
    </row>
    <row r="1025" spans="1:11" x14ac:dyDescent="0.25">
      <c r="A1025" s="5" t="s">
        <v>22</v>
      </c>
      <c r="B1025" t="s">
        <v>1225</v>
      </c>
      <c r="C1025">
        <v>983</v>
      </c>
      <c r="D1025" t="s">
        <v>1420</v>
      </c>
      <c r="E1025">
        <v>0</v>
      </c>
      <c r="F1025" t="s">
        <v>401</v>
      </c>
      <c r="G1025" t="s">
        <v>1571</v>
      </c>
      <c r="H1025">
        <v>1092</v>
      </c>
      <c r="I1025">
        <v>0</v>
      </c>
      <c r="J1025" s="69">
        <v>47192</v>
      </c>
      <c r="K1025" t="s">
        <v>1571</v>
      </c>
    </row>
    <row r="1026" spans="1:11" x14ac:dyDescent="0.25">
      <c r="A1026" s="5" t="s">
        <v>22</v>
      </c>
      <c r="B1026" t="s">
        <v>1225</v>
      </c>
      <c r="C1026">
        <v>1002</v>
      </c>
      <c r="D1026" t="s">
        <v>1335</v>
      </c>
      <c r="E1026">
        <v>0</v>
      </c>
      <c r="F1026" t="s">
        <v>359</v>
      </c>
      <c r="G1026" t="s">
        <v>1571</v>
      </c>
      <c r="H1026">
        <v>1456</v>
      </c>
      <c r="I1026">
        <v>0</v>
      </c>
      <c r="J1026" s="69">
        <v>47211</v>
      </c>
      <c r="K1026" t="s">
        <v>1571</v>
      </c>
    </row>
    <row r="1027" spans="1:11" x14ac:dyDescent="0.25">
      <c r="A1027" s="5" t="s">
        <v>22</v>
      </c>
      <c r="B1027" t="s">
        <v>1225</v>
      </c>
      <c r="C1027">
        <v>1072</v>
      </c>
      <c r="D1027" t="s">
        <v>1421</v>
      </c>
      <c r="E1027">
        <v>0</v>
      </c>
      <c r="F1027" t="s">
        <v>273</v>
      </c>
      <c r="G1027" t="s">
        <v>1571</v>
      </c>
      <c r="H1027">
        <v>2912</v>
      </c>
      <c r="I1027">
        <v>0</v>
      </c>
      <c r="J1027" s="69">
        <v>47281</v>
      </c>
      <c r="K1027" t="s">
        <v>1571</v>
      </c>
    </row>
    <row r="1028" spans="1:11" x14ac:dyDescent="0.25">
      <c r="A1028" s="5" t="s">
        <v>22</v>
      </c>
      <c r="B1028" t="s">
        <v>1225</v>
      </c>
      <c r="C1028">
        <v>1088</v>
      </c>
      <c r="D1028" t="s">
        <v>1422</v>
      </c>
      <c r="E1028">
        <v>0</v>
      </c>
      <c r="F1028" t="s">
        <v>1423</v>
      </c>
      <c r="G1028" t="s">
        <v>1571</v>
      </c>
      <c r="H1028">
        <v>1456</v>
      </c>
      <c r="I1028">
        <v>0</v>
      </c>
      <c r="J1028" s="69">
        <v>47297</v>
      </c>
      <c r="K1028" t="s">
        <v>1571</v>
      </c>
    </row>
    <row r="1029" spans="1:11" x14ac:dyDescent="0.25">
      <c r="A1029" s="5" t="s">
        <v>22</v>
      </c>
      <c r="B1029" t="s">
        <v>1225</v>
      </c>
      <c r="C1029">
        <v>1113</v>
      </c>
      <c r="D1029" t="s">
        <v>1424</v>
      </c>
      <c r="E1029">
        <v>0</v>
      </c>
      <c r="F1029" t="s">
        <v>1425</v>
      </c>
      <c r="G1029">
        <v>1039</v>
      </c>
      <c r="H1029">
        <v>0</v>
      </c>
      <c r="I1029">
        <v>0</v>
      </c>
      <c r="J1029" s="69">
        <v>47322</v>
      </c>
      <c r="K1029" t="s">
        <v>1571</v>
      </c>
    </row>
    <row r="1030" spans="1:11" x14ac:dyDescent="0.25">
      <c r="A1030" s="5" t="s">
        <v>22</v>
      </c>
      <c r="B1030" t="s">
        <v>1225</v>
      </c>
      <c r="C1030">
        <v>1115</v>
      </c>
      <c r="D1030" t="s">
        <v>1426</v>
      </c>
      <c r="E1030">
        <v>0</v>
      </c>
      <c r="F1030" t="s">
        <v>1427</v>
      </c>
      <c r="G1030" t="s">
        <v>2225</v>
      </c>
      <c r="H1030">
        <v>0</v>
      </c>
      <c r="I1030">
        <v>0</v>
      </c>
      <c r="J1030" s="69">
        <v>47324</v>
      </c>
      <c r="K1030" t="s">
        <v>1571</v>
      </c>
    </row>
    <row r="1031" spans="1:11" x14ac:dyDescent="0.25">
      <c r="A1031" s="5" t="s">
        <v>22</v>
      </c>
      <c r="B1031" t="s">
        <v>1225</v>
      </c>
      <c r="C1031">
        <v>1115</v>
      </c>
      <c r="D1031" t="s">
        <v>1428</v>
      </c>
      <c r="E1031">
        <v>0</v>
      </c>
      <c r="F1031" t="s">
        <v>1429</v>
      </c>
      <c r="G1031" t="s">
        <v>2225</v>
      </c>
      <c r="H1031">
        <v>0</v>
      </c>
      <c r="I1031">
        <v>0</v>
      </c>
      <c r="J1031" s="69">
        <v>47324</v>
      </c>
      <c r="K1031" t="s">
        <v>1571</v>
      </c>
    </row>
    <row r="1032" spans="1:11" x14ac:dyDescent="0.25">
      <c r="A1032" s="5" t="s">
        <v>22</v>
      </c>
      <c r="B1032" t="s">
        <v>1225</v>
      </c>
      <c r="C1032">
        <v>1115</v>
      </c>
      <c r="D1032" t="s">
        <v>1426</v>
      </c>
      <c r="E1032">
        <v>0</v>
      </c>
      <c r="F1032" t="s">
        <v>1427</v>
      </c>
      <c r="G1032" t="s">
        <v>2230</v>
      </c>
      <c r="H1032">
        <v>0</v>
      </c>
      <c r="I1032">
        <v>0</v>
      </c>
      <c r="J1032" s="69">
        <v>47324</v>
      </c>
      <c r="K1032" t="s">
        <v>1571</v>
      </c>
    </row>
    <row r="1033" spans="1:11" x14ac:dyDescent="0.25">
      <c r="A1033" s="5" t="s">
        <v>22</v>
      </c>
      <c r="B1033" t="s">
        <v>1225</v>
      </c>
      <c r="C1033">
        <v>1115</v>
      </c>
      <c r="D1033" t="s">
        <v>1428</v>
      </c>
      <c r="E1033">
        <v>0</v>
      </c>
      <c r="F1033" t="s">
        <v>1429</v>
      </c>
      <c r="G1033" t="s">
        <v>2230</v>
      </c>
      <c r="H1033">
        <v>0</v>
      </c>
      <c r="I1033">
        <v>0</v>
      </c>
      <c r="J1033" s="69">
        <v>47324</v>
      </c>
      <c r="K1033" t="s">
        <v>1571</v>
      </c>
    </row>
    <row r="1034" spans="1:11" x14ac:dyDescent="0.25">
      <c r="A1034" s="5" t="s">
        <v>22</v>
      </c>
      <c r="B1034" t="s">
        <v>1225</v>
      </c>
      <c r="C1034">
        <v>1162</v>
      </c>
      <c r="D1034" t="s">
        <v>1431</v>
      </c>
      <c r="E1034">
        <v>0</v>
      </c>
      <c r="F1034" t="s">
        <v>1432</v>
      </c>
      <c r="G1034" t="s">
        <v>1571</v>
      </c>
      <c r="H1034">
        <v>1820</v>
      </c>
      <c r="I1034">
        <v>0</v>
      </c>
      <c r="J1034" s="69">
        <v>47371</v>
      </c>
      <c r="K1034" t="s">
        <v>1571</v>
      </c>
    </row>
    <row r="1035" spans="1:11" x14ac:dyDescent="0.25">
      <c r="A1035" s="5" t="s">
        <v>22</v>
      </c>
      <c r="B1035" t="s">
        <v>1225</v>
      </c>
      <c r="C1035">
        <v>1162</v>
      </c>
      <c r="D1035" t="s">
        <v>1433</v>
      </c>
      <c r="E1035">
        <v>0</v>
      </c>
      <c r="F1035" t="s">
        <v>1434</v>
      </c>
      <c r="G1035" t="s">
        <v>1571</v>
      </c>
      <c r="H1035">
        <v>1820</v>
      </c>
      <c r="I1035">
        <v>0</v>
      </c>
      <c r="J1035" s="69">
        <v>47371</v>
      </c>
      <c r="K1035" t="s">
        <v>1571</v>
      </c>
    </row>
    <row r="1036" spans="1:11" x14ac:dyDescent="0.25">
      <c r="A1036" s="5" t="s">
        <v>22</v>
      </c>
      <c r="B1036" t="s">
        <v>1225</v>
      </c>
      <c r="C1036">
        <v>1214</v>
      </c>
      <c r="D1036" t="s">
        <v>1435</v>
      </c>
      <c r="E1036">
        <v>0</v>
      </c>
      <c r="F1036" t="s">
        <v>1436</v>
      </c>
      <c r="G1036" t="s">
        <v>2149</v>
      </c>
      <c r="H1036">
        <v>2184</v>
      </c>
      <c r="I1036">
        <v>0</v>
      </c>
      <c r="J1036" s="69">
        <v>47423</v>
      </c>
      <c r="K1036" t="s">
        <v>1571</v>
      </c>
    </row>
    <row r="1037" spans="1:11" x14ac:dyDescent="0.25">
      <c r="A1037" s="5" t="s">
        <v>22</v>
      </c>
      <c r="B1037" t="s">
        <v>1225</v>
      </c>
      <c r="C1037">
        <v>1214</v>
      </c>
      <c r="D1037" t="s">
        <v>1435</v>
      </c>
      <c r="E1037">
        <v>0</v>
      </c>
      <c r="F1037" t="s">
        <v>1436</v>
      </c>
      <c r="G1037" t="s">
        <v>2150</v>
      </c>
      <c r="H1037">
        <v>2184</v>
      </c>
      <c r="I1037">
        <v>0</v>
      </c>
      <c r="J1037" s="69">
        <v>47423</v>
      </c>
      <c r="K1037" t="s">
        <v>1571</v>
      </c>
    </row>
    <row r="1038" spans="1:11" x14ac:dyDescent="0.25">
      <c r="A1038" s="5" t="s">
        <v>22</v>
      </c>
      <c r="B1038" t="s">
        <v>1225</v>
      </c>
      <c r="C1038">
        <v>1214</v>
      </c>
      <c r="D1038" t="s">
        <v>1435</v>
      </c>
      <c r="E1038">
        <v>0</v>
      </c>
      <c r="F1038" t="s">
        <v>1436</v>
      </c>
      <c r="G1038" t="s">
        <v>2151</v>
      </c>
      <c r="H1038">
        <v>2184</v>
      </c>
      <c r="I1038">
        <v>0</v>
      </c>
      <c r="J1038" s="69">
        <v>47423</v>
      </c>
      <c r="K1038" t="s">
        <v>1571</v>
      </c>
    </row>
    <row r="1039" spans="1:11" x14ac:dyDescent="0.25">
      <c r="A1039" s="5" t="s">
        <v>22</v>
      </c>
      <c r="B1039" t="s">
        <v>1225</v>
      </c>
      <c r="C1039">
        <v>1214</v>
      </c>
      <c r="D1039" t="s">
        <v>1435</v>
      </c>
      <c r="E1039">
        <v>0</v>
      </c>
      <c r="F1039" t="s">
        <v>1436</v>
      </c>
      <c r="G1039" t="s">
        <v>2156</v>
      </c>
      <c r="H1039">
        <v>2184</v>
      </c>
      <c r="I1039">
        <v>0</v>
      </c>
      <c r="J1039" s="69">
        <v>47423</v>
      </c>
      <c r="K1039" t="s">
        <v>1571</v>
      </c>
    </row>
    <row r="1040" spans="1:11" x14ac:dyDescent="0.25">
      <c r="A1040" s="5" t="s">
        <v>22</v>
      </c>
      <c r="B1040" t="s">
        <v>1225</v>
      </c>
      <c r="C1040">
        <v>1415</v>
      </c>
      <c r="D1040" t="s">
        <v>1264</v>
      </c>
      <c r="E1040">
        <v>0</v>
      </c>
      <c r="F1040" t="s">
        <v>139</v>
      </c>
      <c r="G1040" t="s">
        <v>2036</v>
      </c>
      <c r="H1040">
        <v>1456</v>
      </c>
      <c r="I1040">
        <v>0</v>
      </c>
      <c r="J1040" s="69">
        <v>47624</v>
      </c>
      <c r="K1040" t="s">
        <v>1571</v>
      </c>
    </row>
    <row r="1041" spans="1:11" x14ac:dyDescent="0.25">
      <c r="A1041" s="5" t="s">
        <v>22</v>
      </c>
      <c r="B1041" t="s">
        <v>1225</v>
      </c>
      <c r="C1041">
        <v>1526</v>
      </c>
      <c r="D1041" t="s">
        <v>1395</v>
      </c>
      <c r="E1041">
        <v>0</v>
      </c>
      <c r="F1041" t="s">
        <v>405</v>
      </c>
      <c r="G1041" t="s">
        <v>1571</v>
      </c>
      <c r="H1041">
        <v>2184</v>
      </c>
      <c r="I1041">
        <v>0</v>
      </c>
      <c r="J1041" s="69">
        <v>47735</v>
      </c>
      <c r="K1041" t="s">
        <v>1571</v>
      </c>
    </row>
    <row r="1042" spans="1:11" x14ac:dyDescent="0.25">
      <c r="A1042" s="5" t="s">
        <v>22</v>
      </c>
      <c r="B1042" t="s">
        <v>1225</v>
      </c>
      <c r="C1042">
        <v>1526</v>
      </c>
      <c r="D1042" t="s">
        <v>1430</v>
      </c>
      <c r="E1042">
        <v>0</v>
      </c>
      <c r="F1042" t="s">
        <v>434</v>
      </c>
      <c r="G1042" t="s">
        <v>1571</v>
      </c>
      <c r="H1042">
        <v>2184</v>
      </c>
      <c r="I1042">
        <v>0</v>
      </c>
      <c r="J1042" s="69">
        <v>47735</v>
      </c>
      <c r="K1042" t="s">
        <v>1571</v>
      </c>
    </row>
    <row r="1043" spans="1:11" x14ac:dyDescent="0.25">
      <c r="A1043" s="5" t="s">
        <v>22</v>
      </c>
      <c r="B1043" t="s">
        <v>1225</v>
      </c>
      <c r="C1043">
        <v>1527</v>
      </c>
      <c r="D1043" t="s">
        <v>1437</v>
      </c>
      <c r="E1043">
        <v>0</v>
      </c>
      <c r="F1043" t="s">
        <v>1438</v>
      </c>
      <c r="G1043" t="s">
        <v>1571</v>
      </c>
      <c r="H1043">
        <v>1826</v>
      </c>
      <c r="I1043">
        <v>0</v>
      </c>
      <c r="J1043" s="69">
        <v>47736</v>
      </c>
      <c r="K1043" t="s">
        <v>1571</v>
      </c>
    </row>
    <row r="1044" spans="1:11" x14ac:dyDescent="0.25">
      <c r="A1044" s="5" t="s">
        <v>22</v>
      </c>
      <c r="B1044" t="s">
        <v>1225</v>
      </c>
      <c r="C1044">
        <v>1871</v>
      </c>
      <c r="D1044" t="s">
        <v>1439</v>
      </c>
      <c r="E1044">
        <v>0</v>
      </c>
      <c r="F1044" t="s">
        <v>1440</v>
      </c>
      <c r="G1044" t="s">
        <v>1571</v>
      </c>
      <c r="H1044">
        <v>2555</v>
      </c>
      <c r="I1044">
        <v>0</v>
      </c>
      <c r="J1044" s="69">
        <v>48080</v>
      </c>
      <c r="K1044" t="s">
        <v>1571</v>
      </c>
    </row>
    <row r="1045" spans="1:11" x14ac:dyDescent="0.25">
      <c r="A1045" s="5" t="s">
        <v>22</v>
      </c>
      <c r="B1045" t="s">
        <v>1225</v>
      </c>
      <c r="C1045">
        <v>1974</v>
      </c>
      <c r="D1045" t="s">
        <v>1441</v>
      </c>
      <c r="E1045">
        <v>0</v>
      </c>
      <c r="F1045" t="s">
        <v>1442</v>
      </c>
      <c r="G1045">
        <v>373</v>
      </c>
      <c r="H1045">
        <v>0</v>
      </c>
      <c r="I1045">
        <v>0</v>
      </c>
      <c r="J1045" s="69">
        <v>48183</v>
      </c>
      <c r="K1045" t="s">
        <v>1571</v>
      </c>
    </row>
    <row r="1046" spans="1:11" x14ac:dyDescent="0.25">
      <c r="A1046" s="5" t="s">
        <v>22</v>
      </c>
      <c r="B1046" t="s">
        <v>1225</v>
      </c>
      <c r="C1046">
        <v>1990</v>
      </c>
      <c r="D1046" t="s">
        <v>1267</v>
      </c>
      <c r="E1046">
        <v>0</v>
      </c>
      <c r="F1046" t="s">
        <v>1268</v>
      </c>
      <c r="G1046">
        <v>2004893</v>
      </c>
      <c r="H1046">
        <v>4368</v>
      </c>
      <c r="I1046">
        <v>0</v>
      </c>
      <c r="J1046" s="69">
        <v>48199</v>
      </c>
      <c r="K1046" t="s">
        <v>1571</v>
      </c>
    </row>
    <row r="1047" spans="1:11" x14ac:dyDescent="0.25">
      <c r="A1047" s="5" t="s">
        <v>22</v>
      </c>
      <c r="B1047" t="s">
        <v>1225</v>
      </c>
      <c r="C1047">
        <v>2236</v>
      </c>
      <c r="D1047" t="s">
        <v>1443</v>
      </c>
      <c r="E1047">
        <v>0</v>
      </c>
      <c r="F1047" t="s">
        <v>1444</v>
      </c>
      <c r="G1047" t="s">
        <v>1571</v>
      </c>
      <c r="H1047">
        <v>2920</v>
      </c>
      <c r="I1047">
        <v>0</v>
      </c>
      <c r="J1047" s="69">
        <v>48445</v>
      </c>
      <c r="K1047" t="s">
        <v>1571</v>
      </c>
    </row>
    <row r="1048" spans="1:11" x14ac:dyDescent="0.25">
      <c r="A1048" s="5" t="s">
        <v>22</v>
      </c>
      <c r="B1048" t="s">
        <v>1225</v>
      </c>
      <c r="C1048">
        <v>2254</v>
      </c>
      <c r="D1048" t="s">
        <v>1396</v>
      </c>
      <c r="E1048">
        <v>0</v>
      </c>
      <c r="F1048" t="s">
        <v>415</v>
      </c>
      <c r="G1048" t="s">
        <v>1571</v>
      </c>
      <c r="H1048">
        <v>2912</v>
      </c>
      <c r="I1048">
        <v>0</v>
      </c>
      <c r="J1048" s="69">
        <v>48463</v>
      </c>
      <c r="K1048" t="s">
        <v>1571</v>
      </c>
    </row>
    <row r="1049" spans="1:11" x14ac:dyDescent="0.25">
      <c r="A1049" s="5" t="s">
        <v>22</v>
      </c>
      <c r="B1049" t="s">
        <v>1225</v>
      </c>
      <c r="C1049">
        <v>2254</v>
      </c>
      <c r="D1049" t="s">
        <v>1403</v>
      </c>
      <c r="E1049">
        <v>0</v>
      </c>
      <c r="F1049" t="s">
        <v>287</v>
      </c>
      <c r="G1049" t="s">
        <v>1571</v>
      </c>
      <c r="H1049">
        <v>2912</v>
      </c>
      <c r="I1049">
        <v>0</v>
      </c>
      <c r="J1049" s="69">
        <v>48463</v>
      </c>
      <c r="K1049" t="s">
        <v>1571</v>
      </c>
    </row>
    <row r="1050" spans="1:11" x14ac:dyDescent="0.25">
      <c r="A1050" s="5" t="s">
        <v>22</v>
      </c>
      <c r="B1050" t="s">
        <v>1225</v>
      </c>
      <c r="C1050">
        <v>2254</v>
      </c>
      <c r="D1050" t="s">
        <v>1407</v>
      </c>
      <c r="E1050">
        <v>0</v>
      </c>
      <c r="F1050" t="s">
        <v>291</v>
      </c>
      <c r="G1050" t="s">
        <v>1571</v>
      </c>
      <c r="H1050">
        <v>2912</v>
      </c>
      <c r="I1050">
        <v>0</v>
      </c>
      <c r="J1050" s="69">
        <v>48463</v>
      </c>
      <c r="K1050" t="s">
        <v>1571</v>
      </c>
    </row>
    <row r="1051" spans="1:11" x14ac:dyDescent="0.25">
      <c r="A1051" s="5" t="s">
        <v>22</v>
      </c>
      <c r="B1051" t="s">
        <v>1225</v>
      </c>
      <c r="C1051">
        <v>2254</v>
      </c>
      <c r="D1051" t="s">
        <v>1408</v>
      </c>
      <c r="E1051">
        <v>0</v>
      </c>
      <c r="F1051" t="s">
        <v>293</v>
      </c>
      <c r="G1051" t="s">
        <v>1571</v>
      </c>
      <c r="H1051">
        <v>2912</v>
      </c>
      <c r="I1051">
        <v>0</v>
      </c>
      <c r="J1051" s="69">
        <v>48463</v>
      </c>
      <c r="K1051" t="s">
        <v>1571</v>
      </c>
    </row>
    <row r="1052" spans="1:11" x14ac:dyDescent="0.25">
      <c r="A1052" s="5" t="s">
        <v>22</v>
      </c>
      <c r="B1052" t="s">
        <v>1225</v>
      </c>
      <c r="C1052">
        <v>2254</v>
      </c>
      <c r="D1052" t="s">
        <v>1409</v>
      </c>
      <c r="E1052">
        <v>0</v>
      </c>
      <c r="F1052" t="s">
        <v>295</v>
      </c>
      <c r="G1052" t="s">
        <v>1571</v>
      </c>
      <c r="H1052">
        <v>2912</v>
      </c>
      <c r="I1052">
        <v>0</v>
      </c>
      <c r="J1052" s="69">
        <v>48463</v>
      </c>
      <c r="K1052" t="s">
        <v>1571</v>
      </c>
    </row>
    <row r="1053" spans="1:11" x14ac:dyDescent="0.25">
      <c r="A1053" s="5" t="s">
        <v>22</v>
      </c>
      <c r="B1053" t="s">
        <v>1225</v>
      </c>
      <c r="C1053">
        <v>2254</v>
      </c>
      <c r="D1053" t="s">
        <v>1417</v>
      </c>
      <c r="E1053">
        <v>0</v>
      </c>
      <c r="F1053" t="s">
        <v>309</v>
      </c>
      <c r="G1053" t="s">
        <v>1571</v>
      </c>
      <c r="H1053">
        <v>2912</v>
      </c>
      <c r="I1053">
        <v>0</v>
      </c>
      <c r="J1053" s="69">
        <v>48463</v>
      </c>
      <c r="K1053" t="s">
        <v>1571</v>
      </c>
    </row>
    <row r="1054" spans="1:11" x14ac:dyDescent="0.25">
      <c r="A1054" s="5" t="s">
        <v>22</v>
      </c>
      <c r="B1054" t="s">
        <v>1225</v>
      </c>
      <c r="C1054">
        <v>2467</v>
      </c>
      <c r="D1054" t="s">
        <v>1445</v>
      </c>
      <c r="E1054">
        <v>0</v>
      </c>
      <c r="F1054" t="s">
        <v>367</v>
      </c>
      <c r="G1054" t="s">
        <v>1571</v>
      </c>
      <c r="H1054">
        <v>2912</v>
      </c>
      <c r="I1054">
        <v>0</v>
      </c>
      <c r="J1054" s="69">
        <v>48676</v>
      </c>
      <c r="K1054" t="s">
        <v>1571</v>
      </c>
    </row>
    <row r="1055" spans="1:11" x14ac:dyDescent="0.25">
      <c r="A1055" s="5" t="s">
        <v>22</v>
      </c>
      <c r="B1055" t="s">
        <v>1225</v>
      </c>
      <c r="C1055">
        <v>2571</v>
      </c>
      <c r="D1055" t="s">
        <v>1339</v>
      </c>
      <c r="E1055">
        <v>0</v>
      </c>
      <c r="F1055" t="s">
        <v>1340</v>
      </c>
      <c r="G1055" t="s">
        <v>2230</v>
      </c>
      <c r="H1055">
        <v>3640</v>
      </c>
      <c r="I1055">
        <v>0</v>
      </c>
      <c r="J1055" s="69">
        <v>48780</v>
      </c>
      <c r="K1055" t="s">
        <v>1571</v>
      </c>
    </row>
    <row r="1056" spans="1:11" x14ac:dyDescent="0.25">
      <c r="A1056" s="5" t="s">
        <v>22</v>
      </c>
      <c r="B1056" t="s">
        <v>1225</v>
      </c>
      <c r="C1056">
        <v>2601</v>
      </c>
      <c r="D1056" t="s">
        <v>1446</v>
      </c>
      <c r="E1056">
        <v>0</v>
      </c>
      <c r="F1056" t="s">
        <v>1447</v>
      </c>
      <c r="G1056" t="s">
        <v>1571</v>
      </c>
      <c r="H1056">
        <v>3285</v>
      </c>
      <c r="I1056">
        <v>0</v>
      </c>
      <c r="J1056" s="69">
        <v>48810</v>
      </c>
      <c r="K1056" t="s">
        <v>1571</v>
      </c>
    </row>
    <row r="1057" spans="1:11" x14ac:dyDescent="0.25">
      <c r="A1057" s="5" t="s">
        <v>22</v>
      </c>
      <c r="B1057" t="s">
        <v>1225</v>
      </c>
      <c r="C1057">
        <v>2806</v>
      </c>
      <c r="D1057" t="s">
        <v>1267</v>
      </c>
      <c r="E1057">
        <v>0</v>
      </c>
      <c r="F1057" t="s">
        <v>1268</v>
      </c>
      <c r="G1057">
        <v>2200835</v>
      </c>
      <c r="H1057">
        <v>4368</v>
      </c>
      <c r="I1057">
        <v>0</v>
      </c>
      <c r="J1057" s="69">
        <v>49015</v>
      </c>
      <c r="K1057" t="s">
        <v>1571</v>
      </c>
    </row>
    <row r="1058" spans="1:11" x14ac:dyDescent="0.25">
      <c r="A1058" s="5" t="s">
        <v>22</v>
      </c>
      <c r="B1058" t="s">
        <v>1225</v>
      </c>
      <c r="C1058">
        <v>2885</v>
      </c>
      <c r="D1058" t="s">
        <v>1924</v>
      </c>
      <c r="E1058">
        <v>0</v>
      </c>
      <c r="F1058" t="s">
        <v>371</v>
      </c>
      <c r="G1058" t="s">
        <v>2036</v>
      </c>
      <c r="H1058">
        <v>2912</v>
      </c>
      <c r="I1058">
        <v>0</v>
      </c>
      <c r="J1058" s="69">
        <v>49094</v>
      </c>
      <c r="K1058" t="s">
        <v>1571</v>
      </c>
    </row>
    <row r="1059" spans="1:11" x14ac:dyDescent="0.25">
      <c r="A1059" s="5" t="s">
        <v>22</v>
      </c>
      <c r="B1059" t="s">
        <v>1225</v>
      </c>
      <c r="C1059">
        <v>2886</v>
      </c>
      <c r="D1059" t="s">
        <v>1925</v>
      </c>
      <c r="E1059">
        <v>0</v>
      </c>
      <c r="F1059" t="s">
        <v>388</v>
      </c>
      <c r="G1059" t="s">
        <v>1571</v>
      </c>
      <c r="H1059">
        <v>2912</v>
      </c>
      <c r="I1059">
        <v>0</v>
      </c>
      <c r="J1059" s="69">
        <v>49095</v>
      </c>
      <c r="K1059" t="s">
        <v>1571</v>
      </c>
    </row>
    <row r="1060" spans="1:11" x14ac:dyDescent="0.25">
      <c r="A1060" s="5" t="s">
        <v>22</v>
      </c>
      <c r="B1060" t="s">
        <v>1225</v>
      </c>
      <c r="C1060">
        <v>2966</v>
      </c>
      <c r="D1060" t="s">
        <v>1448</v>
      </c>
      <c r="E1060">
        <v>0</v>
      </c>
      <c r="F1060" t="s">
        <v>1449</v>
      </c>
      <c r="G1060" t="s">
        <v>1571</v>
      </c>
      <c r="H1060">
        <v>3650</v>
      </c>
      <c r="I1060">
        <v>0</v>
      </c>
      <c r="J1060" s="69">
        <v>49175</v>
      </c>
      <c r="K1060" t="s">
        <v>1571</v>
      </c>
    </row>
    <row r="1061" spans="1:11" x14ac:dyDescent="0.25">
      <c r="A1061" s="5" t="s">
        <v>22</v>
      </c>
      <c r="B1061" t="s">
        <v>1225</v>
      </c>
      <c r="C1061">
        <v>3374</v>
      </c>
      <c r="D1061" t="s">
        <v>1267</v>
      </c>
      <c r="E1061">
        <v>0</v>
      </c>
      <c r="F1061" t="s">
        <v>1268</v>
      </c>
      <c r="G1061">
        <v>2305200</v>
      </c>
      <c r="H1061">
        <v>4368</v>
      </c>
      <c r="I1061">
        <v>0</v>
      </c>
      <c r="J1061" s="69">
        <v>49583</v>
      </c>
      <c r="K1061" t="s">
        <v>1571</v>
      </c>
    </row>
    <row r="1062" spans="1:11" x14ac:dyDescent="0.25">
      <c r="A1062" s="5"/>
      <c r="J1062" s="69"/>
    </row>
    <row r="1063" spans="1:11" x14ac:dyDescent="0.25">
      <c r="A1063" s="5"/>
      <c r="J1063" s="69"/>
    </row>
    <row r="1064" spans="1:11" x14ac:dyDescent="0.25">
      <c r="A1064" s="5"/>
      <c r="J1064" s="69"/>
    </row>
    <row r="1065" spans="1:11" x14ac:dyDescent="0.25">
      <c r="A1065" s="5"/>
      <c r="J1065" s="69"/>
    </row>
    <row r="1066" spans="1:11" x14ac:dyDescent="0.25">
      <c r="A1066" s="5"/>
      <c r="J1066" s="69"/>
    </row>
    <row r="1067" spans="1:11" x14ac:dyDescent="0.25">
      <c r="A1067" s="5"/>
      <c r="J1067" s="69"/>
    </row>
    <row r="1068" spans="1:11" x14ac:dyDescent="0.25">
      <c r="A1068" s="5"/>
      <c r="J1068" s="69"/>
    </row>
    <row r="1069" spans="1:11" x14ac:dyDescent="0.25">
      <c r="A1069" s="5"/>
      <c r="J1069" s="69"/>
    </row>
    <row r="1070" spans="1:11" x14ac:dyDescent="0.25">
      <c r="A1070" s="5"/>
      <c r="J1070" s="69"/>
    </row>
    <row r="1071" spans="1:11" x14ac:dyDescent="0.25">
      <c r="A1071" s="5"/>
      <c r="J1071" s="69"/>
    </row>
    <row r="1072" spans="1:11" x14ac:dyDescent="0.25">
      <c r="A1072" s="5"/>
      <c r="J1072" s="69"/>
    </row>
    <row r="1073" spans="1:10" x14ac:dyDescent="0.25">
      <c r="A1073" s="5"/>
      <c r="J1073" s="69"/>
    </row>
    <row r="1074" spans="1:10" x14ac:dyDescent="0.25">
      <c r="A1074" s="5"/>
      <c r="J1074" s="69"/>
    </row>
    <row r="1075" spans="1:10" x14ac:dyDescent="0.25">
      <c r="A1075" s="5"/>
      <c r="J1075" s="69"/>
    </row>
    <row r="1076" spans="1:10" x14ac:dyDescent="0.25">
      <c r="A1076" s="5"/>
      <c r="J1076" s="69"/>
    </row>
    <row r="1077" spans="1:10" x14ac:dyDescent="0.25">
      <c r="A1077" s="5"/>
      <c r="J1077" s="69"/>
    </row>
    <row r="1078" spans="1:10" x14ac:dyDescent="0.25">
      <c r="A1078" s="5"/>
      <c r="J1078" s="69"/>
    </row>
    <row r="1079" spans="1:10" x14ac:dyDescent="0.25">
      <c r="A1079" s="5"/>
      <c r="J1079" s="69"/>
    </row>
    <row r="1080" spans="1:10" x14ac:dyDescent="0.25">
      <c r="A1080" s="5"/>
      <c r="J1080" s="69"/>
    </row>
    <row r="1081" spans="1:10" x14ac:dyDescent="0.25">
      <c r="A1081" s="5"/>
      <c r="J1081" s="69"/>
    </row>
    <row r="1082" spans="1:10" x14ac:dyDescent="0.25">
      <c r="A1082" s="5"/>
      <c r="J1082" s="69"/>
    </row>
    <row r="1083" spans="1:10" x14ac:dyDescent="0.25">
      <c r="A1083" s="5"/>
      <c r="J1083" s="69"/>
    </row>
    <row r="1084" spans="1:10" x14ac:dyDescent="0.25">
      <c r="A1084" s="5"/>
      <c r="J1084" s="69"/>
    </row>
    <row r="1085" spans="1:10" x14ac:dyDescent="0.25">
      <c r="A1085" s="5"/>
      <c r="J1085" s="69"/>
    </row>
    <row r="1086" spans="1:10" x14ac:dyDescent="0.25">
      <c r="A1086" s="5"/>
      <c r="J1086" s="69"/>
    </row>
    <row r="1087" spans="1:10" x14ac:dyDescent="0.25">
      <c r="A1087" s="5"/>
      <c r="J1087" s="69"/>
    </row>
    <row r="1088" spans="1:10" x14ac:dyDescent="0.25">
      <c r="A1088" s="5"/>
      <c r="J1088" s="69"/>
    </row>
    <row r="1089" spans="1:10" x14ac:dyDescent="0.25">
      <c r="A1089" s="5"/>
      <c r="J1089" s="69"/>
    </row>
    <row r="1090" spans="1:10" x14ac:dyDescent="0.25">
      <c r="A1090" s="5"/>
      <c r="J1090" s="69"/>
    </row>
    <row r="1091" spans="1:10" x14ac:dyDescent="0.25">
      <c r="A1091" s="5"/>
      <c r="J1091" s="69"/>
    </row>
    <row r="1092" spans="1:10" x14ac:dyDescent="0.25">
      <c r="A1092" s="5"/>
      <c r="J1092" s="69"/>
    </row>
    <row r="1093" spans="1:10" x14ac:dyDescent="0.25">
      <c r="A1093" s="5"/>
      <c r="J1093" s="69"/>
    </row>
    <row r="1094" spans="1:10" x14ac:dyDescent="0.25">
      <c r="A1094" s="5"/>
      <c r="J1094" s="69"/>
    </row>
    <row r="1095" spans="1:10" x14ac:dyDescent="0.25">
      <c r="A1095" s="5"/>
      <c r="J1095" s="69"/>
    </row>
    <row r="1096" spans="1:10" x14ac:dyDescent="0.25">
      <c r="A1096" s="5"/>
      <c r="J1096" s="69"/>
    </row>
    <row r="1097" spans="1:10" x14ac:dyDescent="0.25">
      <c r="A1097" s="5"/>
      <c r="J1097" s="69"/>
    </row>
    <row r="1098" spans="1:10" x14ac:dyDescent="0.25">
      <c r="A1098" s="5"/>
      <c r="J1098" s="69"/>
    </row>
    <row r="1099" spans="1:10" x14ac:dyDescent="0.25">
      <c r="A1099" s="5"/>
      <c r="J1099" s="69"/>
    </row>
    <row r="1100" spans="1:10" x14ac:dyDescent="0.25">
      <c r="A1100" s="5"/>
      <c r="J1100" s="69"/>
    </row>
    <row r="1101" spans="1:10" x14ac:dyDescent="0.25">
      <c r="A1101" s="5"/>
      <c r="J1101" s="69"/>
    </row>
    <row r="1102" spans="1:10" x14ac:dyDescent="0.25">
      <c r="A1102" s="5"/>
      <c r="J1102" s="69"/>
    </row>
    <row r="1103" spans="1:10" x14ac:dyDescent="0.25">
      <c r="A1103" s="5"/>
      <c r="J1103" s="69"/>
    </row>
    <row r="1104" spans="1:10" x14ac:dyDescent="0.25">
      <c r="A1104" s="5"/>
      <c r="J1104" s="69"/>
    </row>
    <row r="1105" spans="1:10" x14ac:dyDescent="0.25">
      <c r="A1105" s="5"/>
      <c r="J1105" s="69"/>
    </row>
    <row r="1106" spans="1:10" x14ac:dyDescent="0.25">
      <c r="A1106" s="5"/>
      <c r="J1106" s="69"/>
    </row>
    <row r="1107" spans="1:10" x14ac:dyDescent="0.25">
      <c r="A1107" s="5"/>
      <c r="J1107" s="69"/>
    </row>
    <row r="1108" spans="1:10" x14ac:dyDescent="0.25">
      <c r="A1108" s="5"/>
      <c r="J1108" s="69"/>
    </row>
    <row r="1109" spans="1:10" x14ac:dyDescent="0.25">
      <c r="A1109" s="5"/>
      <c r="J1109" s="69"/>
    </row>
    <row r="1110" spans="1:10" x14ac:dyDescent="0.25">
      <c r="A1110" s="5"/>
      <c r="J1110" s="69"/>
    </row>
    <row r="1111" spans="1:10" x14ac:dyDescent="0.25">
      <c r="A1111" s="5"/>
      <c r="J1111" s="69"/>
    </row>
    <row r="1112" spans="1:10" x14ac:dyDescent="0.25">
      <c r="A1112" s="5"/>
      <c r="J1112" s="69"/>
    </row>
    <row r="1113" spans="1:10" x14ac:dyDescent="0.25">
      <c r="A1113" s="5"/>
      <c r="J1113" s="69"/>
    </row>
    <row r="1114" spans="1:10" x14ac:dyDescent="0.25">
      <c r="A1114" s="5"/>
      <c r="J1114" s="69"/>
    </row>
    <row r="1115" spans="1:10" x14ac:dyDescent="0.25">
      <c r="A1115" s="5"/>
      <c r="J1115" s="69"/>
    </row>
    <row r="1116" spans="1:10" x14ac:dyDescent="0.25">
      <c r="A1116" s="5"/>
      <c r="J1116" s="69"/>
    </row>
    <row r="1117" spans="1:10" x14ac:dyDescent="0.25">
      <c r="A1117" s="5"/>
      <c r="J1117" s="69"/>
    </row>
    <row r="1118" spans="1:10" x14ac:dyDescent="0.25">
      <c r="A1118" s="5"/>
      <c r="J1118" s="69"/>
    </row>
    <row r="1119" spans="1:10" x14ac:dyDescent="0.25">
      <c r="A1119" s="5"/>
      <c r="J1119" s="69"/>
    </row>
    <row r="1120" spans="1:10" x14ac:dyDescent="0.25">
      <c r="A1120" s="5"/>
      <c r="J1120" s="69"/>
    </row>
    <row r="1121" spans="1:10" x14ac:dyDescent="0.25">
      <c r="A1121" s="5"/>
      <c r="J1121" s="69"/>
    </row>
    <row r="1122" spans="1:10" x14ac:dyDescent="0.25">
      <c r="A1122" s="5"/>
      <c r="J1122" s="69"/>
    </row>
    <row r="1123" spans="1:10" x14ac:dyDescent="0.25">
      <c r="A1123" s="5"/>
      <c r="J1123" s="69"/>
    </row>
    <row r="1124" spans="1:10" x14ac:dyDescent="0.25">
      <c r="A1124" s="5"/>
      <c r="J1124" s="69"/>
    </row>
    <row r="1125" spans="1:10" x14ac:dyDescent="0.25">
      <c r="A1125" s="5"/>
      <c r="J1125" s="69"/>
    </row>
    <row r="1126" spans="1:10" x14ac:dyDescent="0.25">
      <c r="A1126" s="5"/>
      <c r="J1126" s="69"/>
    </row>
    <row r="1127" spans="1:10" x14ac:dyDescent="0.25">
      <c r="A1127" s="5"/>
      <c r="J1127" s="69"/>
    </row>
    <row r="1128" spans="1:10" x14ac:dyDescent="0.25">
      <c r="A1128" s="5"/>
      <c r="J1128" s="69"/>
    </row>
    <row r="1129" spans="1:10" x14ac:dyDescent="0.25">
      <c r="A1129" s="5"/>
      <c r="J1129" s="69"/>
    </row>
    <row r="1130" spans="1:10" x14ac:dyDescent="0.25">
      <c r="A1130" s="5"/>
      <c r="J1130" s="69"/>
    </row>
    <row r="1131" spans="1:10" x14ac:dyDescent="0.25">
      <c r="A1131" s="5"/>
      <c r="J1131" s="69"/>
    </row>
    <row r="1132" spans="1:10" x14ac:dyDescent="0.25">
      <c r="A1132" s="5"/>
      <c r="J1132" s="69"/>
    </row>
    <row r="1133" spans="1:10" x14ac:dyDescent="0.25">
      <c r="A1133" s="5"/>
      <c r="J1133" s="69"/>
    </row>
    <row r="1134" spans="1:10" x14ac:dyDescent="0.25">
      <c r="A1134" s="5"/>
      <c r="J1134" s="69"/>
    </row>
    <row r="1135" spans="1:10" x14ac:dyDescent="0.25">
      <c r="A1135" s="5"/>
      <c r="J1135" s="69"/>
    </row>
    <row r="1136" spans="1:10" x14ac:dyDescent="0.25">
      <c r="A1136" s="5"/>
      <c r="J1136" s="69"/>
    </row>
    <row r="1137" spans="1:10" x14ac:dyDescent="0.25">
      <c r="A1137" s="5"/>
      <c r="J1137" s="69"/>
    </row>
    <row r="1138" spans="1:10" x14ac:dyDescent="0.25">
      <c r="A1138" s="5"/>
      <c r="J1138" s="69"/>
    </row>
    <row r="1139" spans="1:10" x14ac:dyDescent="0.25">
      <c r="A1139" s="5"/>
      <c r="J1139" s="69"/>
    </row>
    <row r="1140" spans="1:10" x14ac:dyDescent="0.25">
      <c r="A1140" s="5"/>
      <c r="J1140" s="69"/>
    </row>
    <row r="1141" spans="1:10" x14ac:dyDescent="0.25">
      <c r="A1141" s="5"/>
      <c r="J1141" s="69"/>
    </row>
    <row r="1142" spans="1:10" x14ac:dyDescent="0.25">
      <c r="A1142" s="5"/>
      <c r="J1142" s="69"/>
    </row>
    <row r="1143" spans="1:10" x14ac:dyDescent="0.25">
      <c r="A1143" s="5"/>
      <c r="J1143" s="69"/>
    </row>
    <row r="1144" spans="1:10" x14ac:dyDescent="0.25">
      <c r="A1144" s="5"/>
      <c r="J1144" s="69"/>
    </row>
    <row r="1145" spans="1:10" x14ac:dyDescent="0.25">
      <c r="A1145" s="5"/>
      <c r="J1145" s="69"/>
    </row>
    <row r="1146" spans="1:10" x14ac:dyDescent="0.25">
      <c r="A1146" s="5"/>
      <c r="J1146" s="69"/>
    </row>
    <row r="1147" spans="1:10" x14ac:dyDescent="0.25">
      <c r="A1147" s="5"/>
      <c r="J1147" s="69"/>
    </row>
    <row r="1148" spans="1:10" x14ac:dyDescent="0.25">
      <c r="A1148" s="5"/>
      <c r="J1148" s="69"/>
    </row>
    <row r="1149" spans="1:10" x14ac:dyDescent="0.25">
      <c r="A1149" s="5"/>
      <c r="J1149" s="69"/>
    </row>
    <row r="1150" spans="1:10" x14ac:dyDescent="0.25">
      <c r="A1150" s="5"/>
      <c r="J1150" s="69"/>
    </row>
    <row r="1151" spans="1:10" x14ac:dyDescent="0.25">
      <c r="A1151" s="5"/>
      <c r="J1151" s="69"/>
    </row>
    <row r="1152" spans="1:10" x14ac:dyDescent="0.25">
      <c r="A1152" s="5"/>
      <c r="J1152" s="69"/>
    </row>
    <row r="1153" spans="1:10" x14ac:dyDescent="0.25">
      <c r="A1153" s="5"/>
      <c r="J1153" s="69"/>
    </row>
    <row r="1154" spans="1:10" x14ac:dyDescent="0.25">
      <c r="A1154" s="5"/>
      <c r="J1154" s="69"/>
    </row>
    <row r="1155" spans="1:10" x14ac:dyDescent="0.25">
      <c r="A1155" s="5"/>
      <c r="J1155" s="69"/>
    </row>
    <row r="1156" spans="1:10" x14ac:dyDescent="0.25">
      <c r="A1156" s="5"/>
      <c r="J1156" s="69"/>
    </row>
    <row r="1157" spans="1:10" x14ac:dyDescent="0.25">
      <c r="A1157" s="5"/>
      <c r="J1157" s="69"/>
    </row>
    <row r="1158" spans="1:10" x14ac:dyDescent="0.25">
      <c r="A1158" s="5"/>
      <c r="J1158" s="69"/>
    </row>
    <row r="1159" spans="1:10" x14ac:dyDescent="0.25">
      <c r="A1159" s="5"/>
      <c r="J1159" s="69"/>
    </row>
    <row r="1160" spans="1:10" x14ac:dyDescent="0.25">
      <c r="A1160" s="5"/>
      <c r="J1160" s="69"/>
    </row>
    <row r="1161" spans="1:10" x14ac:dyDescent="0.25">
      <c r="A1161" s="5"/>
      <c r="J1161" s="69"/>
    </row>
    <row r="1162" spans="1:10" x14ac:dyDescent="0.25">
      <c r="A1162" s="5"/>
      <c r="J1162" s="69"/>
    </row>
    <row r="1163" spans="1:10" x14ac:dyDescent="0.25">
      <c r="A1163" s="5"/>
      <c r="J1163" s="69"/>
    </row>
    <row r="1164" spans="1:10" x14ac:dyDescent="0.25">
      <c r="A1164" s="5"/>
      <c r="J1164" s="69"/>
    </row>
    <row r="1165" spans="1:10" x14ac:dyDescent="0.25">
      <c r="A1165" s="5"/>
      <c r="J1165" s="69"/>
    </row>
    <row r="1166" spans="1:10" x14ac:dyDescent="0.25">
      <c r="A1166" s="5"/>
      <c r="J1166" s="69"/>
    </row>
    <row r="1167" spans="1:10" x14ac:dyDescent="0.25">
      <c r="A1167" s="5"/>
      <c r="J1167" s="69"/>
    </row>
    <row r="1168" spans="1:10" x14ac:dyDescent="0.25">
      <c r="A1168" s="5"/>
      <c r="J1168" s="69"/>
    </row>
    <row r="1169" spans="1:10" x14ac:dyDescent="0.25">
      <c r="A1169" s="5"/>
      <c r="J1169" s="69"/>
    </row>
    <row r="1170" spans="1:10" x14ac:dyDescent="0.25">
      <c r="A1170" s="5"/>
      <c r="J1170" s="69"/>
    </row>
    <row r="1171" spans="1:10" x14ac:dyDescent="0.25">
      <c r="A1171" s="5"/>
      <c r="J1171" s="69"/>
    </row>
    <row r="1172" spans="1:10" x14ac:dyDescent="0.25">
      <c r="A1172" s="5"/>
      <c r="J1172" s="69"/>
    </row>
    <row r="1173" spans="1:10" x14ac:dyDescent="0.25">
      <c r="A1173" s="5"/>
      <c r="J1173" s="69"/>
    </row>
    <row r="1174" spans="1:10" x14ac:dyDescent="0.25">
      <c r="A1174" s="5"/>
      <c r="J1174" s="69"/>
    </row>
    <row r="1175" spans="1:10" x14ac:dyDescent="0.25">
      <c r="A1175" s="5"/>
      <c r="J1175" s="69"/>
    </row>
    <row r="1176" spans="1:10" x14ac:dyDescent="0.25">
      <c r="A1176" s="5"/>
      <c r="J1176" s="69"/>
    </row>
    <row r="1177" spans="1:10" x14ac:dyDescent="0.25">
      <c r="A1177" s="5"/>
      <c r="J1177" s="69"/>
    </row>
    <row r="1178" spans="1:10" x14ac:dyDescent="0.25">
      <c r="A1178" s="5"/>
      <c r="J1178" s="69"/>
    </row>
    <row r="1179" spans="1:10" x14ac:dyDescent="0.25">
      <c r="A1179" s="5"/>
      <c r="J1179" s="69"/>
    </row>
    <row r="1180" spans="1:10" x14ac:dyDescent="0.25">
      <c r="A1180" s="5"/>
      <c r="J1180" s="69"/>
    </row>
    <row r="1181" spans="1:10" x14ac:dyDescent="0.25">
      <c r="A1181" s="5"/>
      <c r="J1181" s="69"/>
    </row>
    <row r="1182" spans="1:10" x14ac:dyDescent="0.25">
      <c r="A1182" s="5"/>
      <c r="J1182" s="69"/>
    </row>
    <row r="1183" spans="1:10" x14ac:dyDescent="0.25">
      <c r="A1183" s="5"/>
      <c r="J1183" s="69"/>
    </row>
    <row r="1184" spans="1:10" x14ac:dyDescent="0.25">
      <c r="A1184" s="5"/>
      <c r="J1184" s="69"/>
    </row>
    <row r="1185" spans="1:10" x14ac:dyDescent="0.25">
      <c r="A1185" s="5"/>
      <c r="J1185" s="69"/>
    </row>
    <row r="1186" spans="1:10" x14ac:dyDescent="0.25">
      <c r="A1186" s="5"/>
      <c r="J1186" s="69"/>
    </row>
    <row r="1187" spans="1:10" x14ac:dyDescent="0.25">
      <c r="A1187" s="5"/>
      <c r="J1187" s="69"/>
    </row>
    <row r="1188" spans="1:10" x14ac:dyDescent="0.25">
      <c r="A1188" s="5"/>
      <c r="J1188" s="69"/>
    </row>
    <row r="1189" spans="1:10" x14ac:dyDescent="0.25">
      <c r="A1189" s="5"/>
      <c r="J1189" s="69"/>
    </row>
    <row r="1190" spans="1:10" x14ac:dyDescent="0.25">
      <c r="A1190" s="5"/>
      <c r="J1190" s="69"/>
    </row>
    <row r="1191" spans="1:10" x14ac:dyDescent="0.25">
      <c r="A1191" s="5"/>
      <c r="J1191" s="69"/>
    </row>
    <row r="1192" spans="1:10" x14ac:dyDescent="0.25">
      <c r="A1192" s="5"/>
      <c r="J1192" s="69"/>
    </row>
    <row r="1193" spans="1:10" x14ac:dyDescent="0.25">
      <c r="A1193" s="5"/>
      <c r="J1193" s="69"/>
    </row>
    <row r="1194" spans="1:10" x14ac:dyDescent="0.25">
      <c r="A1194" s="5"/>
      <c r="J1194" s="69"/>
    </row>
    <row r="1195" spans="1:10" x14ac:dyDescent="0.25">
      <c r="A1195" s="5"/>
      <c r="J1195" s="69"/>
    </row>
    <row r="1196" spans="1:10" x14ac:dyDescent="0.25">
      <c r="A1196" s="5"/>
      <c r="J1196" s="69"/>
    </row>
    <row r="1197" spans="1:10" x14ac:dyDescent="0.25">
      <c r="A1197" s="5"/>
      <c r="J1197" s="69"/>
    </row>
    <row r="1198" spans="1:10" x14ac:dyDescent="0.25">
      <c r="A1198" s="5"/>
      <c r="J1198" s="69"/>
    </row>
    <row r="1199" spans="1:10" x14ac:dyDescent="0.25">
      <c r="A1199" s="5"/>
      <c r="J1199" s="69"/>
    </row>
    <row r="1200" spans="1:10" x14ac:dyDescent="0.25">
      <c r="A1200" s="5"/>
      <c r="J1200" s="69"/>
    </row>
    <row r="1201" spans="1:10" x14ac:dyDescent="0.25">
      <c r="A1201" s="5"/>
      <c r="J1201" s="69"/>
    </row>
    <row r="1202" spans="1:10" x14ac:dyDescent="0.25">
      <c r="A1202" s="5"/>
      <c r="J1202" s="69"/>
    </row>
    <row r="1203" spans="1:10" x14ac:dyDescent="0.25">
      <c r="A1203" s="5"/>
      <c r="J1203" s="69"/>
    </row>
    <row r="1204" spans="1:10" x14ac:dyDescent="0.25">
      <c r="A1204" s="5"/>
      <c r="J1204" s="69"/>
    </row>
    <row r="1205" spans="1:10" x14ac:dyDescent="0.25">
      <c r="A1205" s="5"/>
      <c r="J1205" s="69"/>
    </row>
    <row r="1206" spans="1:10" x14ac:dyDescent="0.25">
      <c r="A1206" s="5"/>
      <c r="J1206" s="69"/>
    </row>
    <row r="1207" spans="1:10" x14ac:dyDescent="0.25">
      <c r="A1207" s="5"/>
      <c r="J1207" s="69"/>
    </row>
    <row r="1208" spans="1:10" x14ac:dyDescent="0.25">
      <c r="A1208" s="5"/>
      <c r="J1208" s="69"/>
    </row>
    <row r="1209" spans="1:10" x14ac:dyDescent="0.25">
      <c r="A1209" s="5"/>
      <c r="J1209" s="69"/>
    </row>
    <row r="1210" spans="1:10" x14ac:dyDescent="0.25">
      <c r="A1210" s="5"/>
      <c r="J1210" s="69"/>
    </row>
    <row r="1211" spans="1:10" x14ac:dyDescent="0.25">
      <c r="A1211" s="5"/>
      <c r="J1211" s="69"/>
    </row>
    <row r="1212" spans="1:10" x14ac:dyDescent="0.25">
      <c r="A1212" s="5"/>
      <c r="J1212" s="69"/>
    </row>
    <row r="1213" spans="1:10" x14ac:dyDescent="0.25">
      <c r="A1213" s="5"/>
      <c r="J1213" s="69"/>
    </row>
    <row r="1214" spans="1:10" x14ac:dyDescent="0.25">
      <c r="A1214" s="5"/>
      <c r="J1214" s="69"/>
    </row>
    <row r="1215" spans="1:10" x14ac:dyDescent="0.25">
      <c r="A1215" s="5"/>
      <c r="J1215" s="69"/>
    </row>
    <row r="1216" spans="1:10" x14ac:dyDescent="0.25">
      <c r="A1216" s="5"/>
      <c r="J1216" s="69"/>
    </row>
    <row r="1217" spans="1:10" x14ac:dyDescent="0.25">
      <c r="A1217" s="5"/>
      <c r="J1217" s="69"/>
    </row>
    <row r="1218" spans="1:10" x14ac:dyDescent="0.25">
      <c r="A1218" s="5"/>
      <c r="J1218" s="69"/>
    </row>
    <row r="1219" spans="1:10" x14ac:dyDescent="0.25">
      <c r="A1219" s="5"/>
      <c r="J1219" s="69"/>
    </row>
    <row r="1220" spans="1:10" x14ac:dyDescent="0.25">
      <c r="A1220" s="5"/>
      <c r="J1220" s="69"/>
    </row>
    <row r="1221" spans="1:10" x14ac:dyDescent="0.25">
      <c r="A1221" s="5"/>
      <c r="J1221" s="69"/>
    </row>
    <row r="1222" spans="1:10" x14ac:dyDescent="0.25">
      <c r="A1222" s="5"/>
      <c r="J1222" s="69"/>
    </row>
    <row r="1223" spans="1:10" x14ac:dyDescent="0.25">
      <c r="A1223" s="5"/>
      <c r="J1223" s="69"/>
    </row>
    <row r="1224" spans="1:10" x14ac:dyDescent="0.25">
      <c r="A1224" s="5"/>
      <c r="J1224" s="69"/>
    </row>
    <row r="1225" spans="1:10" x14ac:dyDescent="0.25">
      <c r="A1225" s="5"/>
      <c r="J1225" s="69"/>
    </row>
    <row r="1226" spans="1:10" x14ac:dyDescent="0.25">
      <c r="A1226" s="5"/>
      <c r="J1226" s="69"/>
    </row>
    <row r="1227" spans="1:10" x14ac:dyDescent="0.25">
      <c r="A1227" s="5"/>
      <c r="J1227" s="69"/>
    </row>
    <row r="1228" spans="1:10" x14ac:dyDescent="0.25">
      <c r="A1228" s="5"/>
      <c r="J1228" s="69"/>
    </row>
    <row r="1229" spans="1:10" x14ac:dyDescent="0.25">
      <c r="A1229" s="5"/>
      <c r="J1229" s="69"/>
    </row>
    <row r="1230" spans="1:10" x14ac:dyDescent="0.25">
      <c r="A1230" s="5"/>
      <c r="J1230" s="69"/>
    </row>
    <row r="1231" spans="1:10" x14ac:dyDescent="0.25">
      <c r="A1231" s="5"/>
      <c r="J1231" s="69"/>
    </row>
    <row r="1232" spans="1:10" x14ac:dyDescent="0.25">
      <c r="A1232" s="5"/>
      <c r="J1232" s="69"/>
    </row>
    <row r="1233" spans="1:10" x14ac:dyDescent="0.25">
      <c r="A1233" s="5"/>
      <c r="J1233" s="69"/>
    </row>
    <row r="1234" spans="1:10" x14ac:dyDescent="0.25">
      <c r="A1234" s="5"/>
      <c r="J1234" s="69"/>
    </row>
    <row r="1235" spans="1:10" x14ac:dyDescent="0.25">
      <c r="A1235" s="5"/>
      <c r="J1235" s="69"/>
    </row>
    <row r="1236" spans="1:10" x14ac:dyDescent="0.25">
      <c r="A1236" s="5"/>
      <c r="J1236" s="69"/>
    </row>
    <row r="1237" spans="1:10" x14ac:dyDescent="0.25">
      <c r="A1237" s="5"/>
      <c r="J1237" s="69"/>
    </row>
    <row r="1238" spans="1:10" x14ac:dyDescent="0.25">
      <c r="A1238" s="5"/>
      <c r="J1238" s="69"/>
    </row>
    <row r="1239" spans="1:10" x14ac:dyDescent="0.25">
      <c r="A1239" s="5"/>
      <c r="J1239" s="69"/>
    </row>
    <row r="1240" spans="1:10" x14ac:dyDescent="0.25">
      <c r="A1240" s="5"/>
      <c r="J1240" s="69"/>
    </row>
    <row r="1241" spans="1:10" x14ac:dyDescent="0.25">
      <c r="A1241" s="5"/>
      <c r="J1241" s="69"/>
    </row>
    <row r="1242" spans="1:10" x14ac:dyDescent="0.25">
      <c r="A1242" s="5"/>
      <c r="J1242" s="69"/>
    </row>
    <row r="1243" spans="1:10" x14ac:dyDescent="0.25">
      <c r="A1243" s="5"/>
      <c r="J1243" s="69"/>
    </row>
    <row r="1244" spans="1:10" x14ac:dyDescent="0.25">
      <c r="A1244" s="5"/>
      <c r="J1244" s="69"/>
    </row>
    <row r="1245" spans="1:10" x14ac:dyDescent="0.25">
      <c r="A1245" s="5"/>
      <c r="J1245" s="69"/>
    </row>
    <row r="1246" spans="1:10" x14ac:dyDescent="0.25">
      <c r="A1246" s="5"/>
      <c r="J1246" s="69"/>
    </row>
    <row r="1247" spans="1:10" x14ac:dyDescent="0.25">
      <c r="A1247" s="5"/>
      <c r="J1247" s="69"/>
    </row>
    <row r="1248" spans="1:10" x14ac:dyDescent="0.25">
      <c r="A1248" s="5"/>
      <c r="J1248" s="69"/>
    </row>
    <row r="1249" spans="1:10" x14ac:dyDescent="0.25">
      <c r="A1249" s="5"/>
      <c r="J1249" s="69"/>
    </row>
    <row r="1250" spans="1:10" x14ac:dyDescent="0.25">
      <c r="A1250" s="5"/>
      <c r="J1250" s="69"/>
    </row>
    <row r="1251" spans="1:10" x14ac:dyDescent="0.25">
      <c r="A1251" s="5"/>
      <c r="J1251" s="69"/>
    </row>
    <row r="1252" spans="1:10" x14ac:dyDescent="0.25">
      <c r="A1252" s="5"/>
      <c r="J1252" s="69"/>
    </row>
    <row r="1253" spans="1:10" x14ac:dyDescent="0.25">
      <c r="A1253" s="5"/>
      <c r="J1253" s="69"/>
    </row>
    <row r="1254" spans="1:10" x14ac:dyDescent="0.25">
      <c r="A1254" s="5"/>
      <c r="J1254" s="69"/>
    </row>
    <row r="1255" spans="1:10" x14ac:dyDescent="0.25">
      <c r="A1255" s="5"/>
      <c r="J1255" s="69"/>
    </row>
    <row r="1256" spans="1:10" x14ac:dyDescent="0.25">
      <c r="A1256" s="5"/>
      <c r="J1256" s="69"/>
    </row>
    <row r="1257" spans="1:10" x14ac:dyDescent="0.25">
      <c r="A1257" s="5"/>
      <c r="J1257" s="69"/>
    </row>
    <row r="1258" spans="1:10" x14ac:dyDescent="0.25">
      <c r="A1258" s="5"/>
      <c r="J1258" s="69"/>
    </row>
    <row r="1259" spans="1:10" x14ac:dyDescent="0.25">
      <c r="A1259" s="5"/>
      <c r="J1259" s="69"/>
    </row>
    <row r="1260" spans="1:10" x14ac:dyDescent="0.25">
      <c r="A1260" s="5"/>
      <c r="J1260" s="69"/>
    </row>
    <row r="1261" spans="1:10" x14ac:dyDescent="0.25">
      <c r="A1261" s="5"/>
      <c r="J1261" s="69"/>
    </row>
    <row r="1262" spans="1:10" x14ac:dyDescent="0.25">
      <c r="A1262" s="5"/>
      <c r="J1262" s="69"/>
    </row>
    <row r="1263" spans="1:10" x14ac:dyDescent="0.25">
      <c r="A1263" s="5"/>
      <c r="J1263" s="69"/>
    </row>
    <row r="1264" spans="1:10" x14ac:dyDescent="0.25">
      <c r="A1264" s="5"/>
      <c r="J1264" s="69"/>
    </row>
    <row r="1265" spans="1:10" x14ac:dyDescent="0.25">
      <c r="A1265" s="5"/>
      <c r="J1265" s="69"/>
    </row>
    <row r="1266" spans="1:10" x14ac:dyDescent="0.25">
      <c r="A1266" s="5"/>
      <c r="J1266" s="69"/>
    </row>
    <row r="1267" spans="1:10" x14ac:dyDescent="0.25">
      <c r="A1267" s="5"/>
      <c r="J1267" s="69"/>
    </row>
    <row r="1268" spans="1:10" x14ac:dyDescent="0.25">
      <c r="A1268" s="5"/>
      <c r="J1268" s="69"/>
    </row>
    <row r="1269" spans="1:10" x14ac:dyDescent="0.25">
      <c r="A1269" s="5"/>
      <c r="J1269" s="69"/>
    </row>
    <row r="1270" spans="1:10" x14ac:dyDescent="0.25">
      <c r="A1270" s="5"/>
      <c r="J1270" s="69"/>
    </row>
    <row r="1271" spans="1:10" x14ac:dyDescent="0.25">
      <c r="A1271" s="5"/>
      <c r="J1271" s="69"/>
    </row>
    <row r="1272" spans="1:10" x14ac:dyDescent="0.25">
      <c r="A1272" s="5"/>
      <c r="J1272" s="69"/>
    </row>
    <row r="1273" spans="1:10" x14ac:dyDescent="0.25">
      <c r="A1273" s="5"/>
      <c r="J1273" s="69"/>
    </row>
    <row r="1274" spans="1:10" x14ac:dyDescent="0.25">
      <c r="A1274" s="5"/>
      <c r="J1274" s="69"/>
    </row>
    <row r="1275" spans="1:10" x14ac:dyDescent="0.25">
      <c r="A1275" s="5"/>
      <c r="J1275" s="69"/>
    </row>
    <row r="1276" spans="1:10" x14ac:dyDescent="0.25">
      <c r="A1276" s="5"/>
      <c r="J1276" s="69"/>
    </row>
    <row r="1277" spans="1:10" x14ac:dyDescent="0.25">
      <c r="A1277" s="5"/>
      <c r="J1277" s="69"/>
    </row>
    <row r="1278" spans="1:10" x14ac:dyDescent="0.25">
      <c r="A1278" s="5"/>
      <c r="J1278" s="69"/>
    </row>
    <row r="1279" spans="1:10" x14ac:dyDescent="0.25">
      <c r="A1279" s="5"/>
      <c r="J1279" s="69"/>
    </row>
    <row r="1280" spans="1:10" x14ac:dyDescent="0.25">
      <c r="A1280" s="5"/>
      <c r="J1280" s="69"/>
    </row>
    <row r="1281" spans="1:10" x14ac:dyDescent="0.25">
      <c r="A1281" s="5"/>
      <c r="J1281" s="69"/>
    </row>
    <row r="1282" spans="1:10" x14ac:dyDescent="0.25">
      <c r="A1282" s="5"/>
      <c r="J1282" s="69"/>
    </row>
    <row r="1283" spans="1:10" x14ac:dyDescent="0.25">
      <c r="A1283" s="5"/>
      <c r="J1283" s="69"/>
    </row>
    <row r="1284" spans="1:10" x14ac:dyDescent="0.25">
      <c r="A1284" s="5"/>
      <c r="J1284" s="69"/>
    </row>
    <row r="1285" spans="1:10" x14ac:dyDescent="0.25">
      <c r="A1285" s="5"/>
      <c r="J1285" s="69"/>
    </row>
    <row r="1286" spans="1:10" x14ac:dyDescent="0.25">
      <c r="A1286" s="5"/>
      <c r="J1286" s="69"/>
    </row>
    <row r="1287" spans="1:10" x14ac:dyDescent="0.25">
      <c r="A1287" s="5"/>
      <c r="J1287" s="69"/>
    </row>
    <row r="1288" spans="1:10" x14ac:dyDescent="0.25">
      <c r="A1288" s="5"/>
      <c r="J1288" s="69"/>
    </row>
    <row r="1289" spans="1:10" x14ac:dyDescent="0.25">
      <c r="A1289" s="5"/>
      <c r="J1289" s="69"/>
    </row>
    <row r="1290" spans="1:10" x14ac:dyDescent="0.25">
      <c r="A1290" s="5"/>
      <c r="J1290" s="69"/>
    </row>
    <row r="1291" spans="1:10" x14ac:dyDescent="0.25">
      <c r="A1291" s="5"/>
      <c r="J1291" s="69"/>
    </row>
    <row r="1292" spans="1:10" x14ac:dyDescent="0.25">
      <c r="A1292" s="5"/>
      <c r="J1292" s="69"/>
    </row>
    <row r="1293" spans="1:10" x14ac:dyDescent="0.25">
      <c r="A1293" s="5"/>
      <c r="J1293" s="69"/>
    </row>
    <row r="1294" spans="1:10" x14ac:dyDescent="0.25">
      <c r="A1294" s="5"/>
      <c r="J1294" s="69"/>
    </row>
    <row r="1295" spans="1:10" x14ac:dyDescent="0.25">
      <c r="A1295" s="5"/>
      <c r="J1295" s="69"/>
    </row>
    <row r="1296" spans="1:10" x14ac:dyDescent="0.25">
      <c r="A1296" s="5"/>
      <c r="J1296" s="69"/>
    </row>
    <row r="1297" spans="1:10" x14ac:dyDescent="0.25">
      <c r="A1297" s="5"/>
      <c r="J1297" s="69"/>
    </row>
    <row r="1298" spans="1:10" x14ac:dyDescent="0.25">
      <c r="A1298" s="5"/>
      <c r="J1298" s="69"/>
    </row>
    <row r="1299" spans="1:10" x14ac:dyDescent="0.25">
      <c r="A1299" s="5"/>
      <c r="J1299" s="69"/>
    </row>
    <row r="1300" spans="1:10" x14ac:dyDescent="0.25">
      <c r="A1300" s="5"/>
      <c r="J1300" s="69"/>
    </row>
    <row r="1301" spans="1:10" x14ac:dyDescent="0.25">
      <c r="A1301" s="5"/>
      <c r="J1301" s="69"/>
    </row>
    <row r="1302" spans="1:10" x14ac:dyDescent="0.25">
      <c r="A1302" s="5"/>
      <c r="J1302" s="69"/>
    </row>
    <row r="1303" spans="1:10" x14ac:dyDescent="0.25">
      <c r="A1303" s="5"/>
      <c r="J1303" s="69"/>
    </row>
    <row r="1304" spans="1:10" x14ac:dyDescent="0.25">
      <c r="A1304" s="5"/>
      <c r="J1304" s="69"/>
    </row>
    <row r="1305" spans="1:10" x14ac:dyDescent="0.25">
      <c r="A1305" s="5"/>
      <c r="J1305" s="69"/>
    </row>
    <row r="1306" spans="1:10" x14ac:dyDescent="0.25">
      <c r="A1306" s="5"/>
      <c r="J1306" s="69"/>
    </row>
    <row r="1307" spans="1:10" x14ac:dyDescent="0.25">
      <c r="A1307" s="5"/>
      <c r="J1307" s="69"/>
    </row>
    <row r="1308" spans="1:10" x14ac:dyDescent="0.25">
      <c r="A1308" s="5"/>
      <c r="J1308" s="69"/>
    </row>
    <row r="1309" spans="1:10" x14ac:dyDescent="0.25">
      <c r="A1309" s="5"/>
      <c r="J1309" s="69"/>
    </row>
    <row r="1310" spans="1:10" x14ac:dyDescent="0.25">
      <c r="A1310" s="5"/>
      <c r="J1310" s="69"/>
    </row>
    <row r="1311" spans="1:10" x14ac:dyDescent="0.25">
      <c r="A1311" s="5"/>
      <c r="J1311" s="69"/>
    </row>
    <row r="1312" spans="1:10" x14ac:dyDescent="0.25">
      <c r="A1312" s="5"/>
      <c r="J1312" s="69"/>
    </row>
    <row r="1313" spans="1:10" x14ac:dyDescent="0.25">
      <c r="A1313" s="5"/>
      <c r="J1313" s="69"/>
    </row>
    <row r="1314" spans="1:10" x14ac:dyDescent="0.25">
      <c r="A1314" s="5"/>
      <c r="J1314" s="69"/>
    </row>
    <row r="1315" spans="1:10" x14ac:dyDescent="0.25">
      <c r="A1315" s="5"/>
      <c r="J1315" s="69"/>
    </row>
    <row r="1316" spans="1:10" x14ac:dyDescent="0.25">
      <c r="A1316" s="5"/>
      <c r="J1316" s="69"/>
    </row>
    <row r="1317" spans="1:10" x14ac:dyDescent="0.25">
      <c r="A1317" s="5"/>
      <c r="J1317" s="69"/>
    </row>
    <row r="1318" spans="1:10" x14ac:dyDescent="0.25">
      <c r="A1318" s="5"/>
      <c r="J1318" s="69"/>
    </row>
    <row r="1319" spans="1:10" x14ac:dyDescent="0.25">
      <c r="A1319" s="5"/>
      <c r="J1319" s="69"/>
    </row>
    <row r="1320" spans="1:10" x14ac:dyDescent="0.25">
      <c r="A1320" s="5"/>
      <c r="J1320" s="69"/>
    </row>
    <row r="1321" spans="1:10" x14ac:dyDescent="0.25">
      <c r="A1321" s="5"/>
      <c r="J1321" s="69"/>
    </row>
    <row r="1322" spans="1:10" x14ac:dyDescent="0.25">
      <c r="A1322" s="5"/>
      <c r="J1322" s="69"/>
    </row>
    <row r="1323" spans="1:10" x14ac:dyDescent="0.25">
      <c r="A1323" s="5"/>
      <c r="J1323" s="69"/>
    </row>
    <row r="1324" spans="1:10" x14ac:dyDescent="0.25">
      <c r="A1324" s="5"/>
      <c r="J1324" s="69"/>
    </row>
    <row r="1325" spans="1:10" x14ac:dyDescent="0.25">
      <c r="A1325" s="5"/>
      <c r="J1325" s="69"/>
    </row>
    <row r="1326" spans="1:10" x14ac:dyDescent="0.25">
      <c r="A1326" s="5"/>
      <c r="J1326" s="69"/>
    </row>
    <row r="1327" spans="1:10" x14ac:dyDescent="0.25">
      <c r="A1327" s="5"/>
      <c r="J1327" s="69"/>
    </row>
    <row r="1328" spans="1:10" x14ac:dyDescent="0.25">
      <c r="A1328" s="5"/>
      <c r="J1328" s="69"/>
    </row>
    <row r="1329" spans="1:10" x14ac:dyDescent="0.25">
      <c r="A1329" s="5"/>
      <c r="J1329" s="69"/>
    </row>
    <row r="1330" spans="1:10" x14ac:dyDescent="0.25">
      <c r="A1330" s="5"/>
      <c r="J1330" s="69"/>
    </row>
    <row r="1331" spans="1:10" x14ac:dyDescent="0.25">
      <c r="A1331" s="5"/>
      <c r="J1331" s="69"/>
    </row>
    <row r="1332" spans="1:10" x14ac:dyDescent="0.25">
      <c r="A1332" s="5"/>
      <c r="J1332" s="69"/>
    </row>
    <row r="1333" spans="1:10" x14ac:dyDescent="0.25">
      <c r="A1333" s="5"/>
      <c r="J1333" s="69"/>
    </row>
    <row r="1334" spans="1:10" x14ac:dyDescent="0.25">
      <c r="A1334" s="5"/>
      <c r="J1334" s="69"/>
    </row>
    <row r="1335" spans="1:10" x14ac:dyDescent="0.25">
      <c r="A1335" s="5"/>
      <c r="J1335" s="69"/>
    </row>
    <row r="1336" spans="1:10" x14ac:dyDescent="0.25">
      <c r="A1336" s="5"/>
      <c r="J1336" s="69"/>
    </row>
    <row r="1337" spans="1:10" x14ac:dyDescent="0.25">
      <c r="A1337" s="5"/>
      <c r="J1337" s="69"/>
    </row>
    <row r="1338" spans="1:10" x14ac:dyDescent="0.25">
      <c r="A1338" s="5"/>
      <c r="J1338" s="69"/>
    </row>
    <row r="1339" spans="1:10" x14ac:dyDescent="0.25">
      <c r="A1339" s="5"/>
      <c r="J1339" s="69"/>
    </row>
    <row r="1340" spans="1:10" x14ac:dyDescent="0.25">
      <c r="A1340" s="5"/>
      <c r="J1340" s="69"/>
    </row>
    <row r="1341" spans="1:10" x14ac:dyDescent="0.25">
      <c r="A1341" s="5"/>
      <c r="J1341" s="69"/>
    </row>
    <row r="1342" spans="1:10" x14ac:dyDescent="0.25">
      <c r="A1342" s="5"/>
      <c r="J1342" s="69"/>
    </row>
    <row r="1343" spans="1:10" x14ac:dyDescent="0.25">
      <c r="A1343" s="5"/>
      <c r="J1343" s="69"/>
    </row>
    <row r="1344" spans="1:10" x14ac:dyDescent="0.25">
      <c r="A1344" s="5"/>
      <c r="J1344" s="69"/>
    </row>
    <row r="1345" spans="1:10" x14ac:dyDescent="0.25">
      <c r="A1345" s="5"/>
      <c r="J1345" s="69"/>
    </row>
    <row r="1346" spans="1:10" x14ac:dyDescent="0.25">
      <c r="A1346" s="5"/>
      <c r="J1346" s="69"/>
    </row>
    <row r="1347" spans="1:10" x14ac:dyDescent="0.25">
      <c r="A1347" s="5"/>
      <c r="J1347" s="69"/>
    </row>
    <row r="1348" spans="1:10" x14ac:dyDescent="0.25">
      <c r="A1348" s="5"/>
      <c r="J1348" s="69"/>
    </row>
    <row r="1349" spans="1:10" x14ac:dyDescent="0.25">
      <c r="A1349" s="5"/>
      <c r="J1349" s="69"/>
    </row>
    <row r="1350" spans="1:10" x14ac:dyDescent="0.25">
      <c r="A1350" s="5"/>
      <c r="J1350" s="69"/>
    </row>
    <row r="1351" spans="1:10" x14ac:dyDescent="0.25">
      <c r="A1351" s="5"/>
      <c r="J1351" s="69"/>
    </row>
    <row r="1352" spans="1:10" x14ac:dyDescent="0.25">
      <c r="A1352" s="5"/>
      <c r="J1352" s="69"/>
    </row>
    <row r="1353" spans="1:10" x14ac:dyDescent="0.25">
      <c r="A1353" s="5"/>
      <c r="J1353" s="69"/>
    </row>
    <row r="1354" spans="1:10" x14ac:dyDescent="0.25">
      <c r="A1354" s="5"/>
      <c r="J1354" s="69"/>
    </row>
    <row r="1355" spans="1:10" x14ac:dyDescent="0.25">
      <c r="A1355" s="5"/>
      <c r="J1355" s="69"/>
    </row>
    <row r="1356" spans="1:10" x14ac:dyDescent="0.25">
      <c r="A1356" s="5"/>
      <c r="J1356" s="69"/>
    </row>
    <row r="1357" spans="1:10" x14ac:dyDescent="0.25">
      <c r="A1357" s="5"/>
      <c r="J1357" s="69"/>
    </row>
    <row r="1358" spans="1:10" x14ac:dyDescent="0.25">
      <c r="A1358" s="5"/>
      <c r="J1358" s="69"/>
    </row>
    <row r="1359" spans="1:10" x14ac:dyDescent="0.25">
      <c r="A1359" s="5"/>
      <c r="J1359" s="69"/>
    </row>
    <row r="1360" spans="1:10" x14ac:dyDescent="0.25">
      <c r="A1360" s="5"/>
      <c r="J1360" s="69"/>
    </row>
    <row r="1361" spans="1:10" x14ac:dyDescent="0.25">
      <c r="A1361" s="5"/>
      <c r="J1361" s="69"/>
    </row>
    <row r="1362" spans="1:10" x14ac:dyDescent="0.25">
      <c r="A1362" s="5"/>
      <c r="J1362" s="69"/>
    </row>
    <row r="1363" spans="1:10" x14ac:dyDescent="0.25">
      <c r="A1363" s="5"/>
      <c r="J1363" s="69"/>
    </row>
    <row r="1364" spans="1:10" x14ac:dyDescent="0.25">
      <c r="A1364" s="5"/>
      <c r="J1364" s="69"/>
    </row>
    <row r="1365" spans="1:10" x14ac:dyDescent="0.25">
      <c r="A1365" s="5"/>
      <c r="J1365" s="69"/>
    </row>
    <row r="1366" spans="1:10" x14ac:dyDescent="0.25">
      <c r="A1366" s="5"/>
      <c r="J1366" s="69"/>
    </row>
    <row r="1367" spans="1:10" x14ac:dyDescent="0.25">
      <c r="A1367" s="5"/>
      <c r="J1367" s="69"/>
    </row>
    <row r="1368" spans="1:10" x14ac:dyDescent="0.25">
      <c r="A1368" s="5"/>
      <c r="J1368" s="69"/>
    </row>
    <row r="1369" spans="1:10" x14ac:dyDescent="0.25">
      <c r="A1369" s="5"/>
      <c r="J1369" s="69"/>
    </row>
    <row r="1370" spans="1:10" x14ac:dyDescent="0.25">
      <c r="A1370" s="5"/>
      <c r="J1370" s="69"/>
    </row>
    <row r="1371" spans="1:10" x14ac:dyDescent="0.25">
      <c r="A1371" s="5"/>
      <c r="J1371" s="69"/>
    </row>
    <row r="1372" spans="1:10" x14ac:dyDescent="0.25">
      <c r="A1372" s="5"/>
      <c r="J1372" s="69"/>
    </row>
    <row r="1373" spans="1:10" x14ac:dyDescent="0.25">
      <c r="A1373" s="5"/>
      <c r="J1373" s="69"/>
    </row>
    <row r="1374" spans="1:10" x14ac:dyDescent="0.25">
      <c r="A1374" s="5"/>
      <c r="J1374" s="69"/>
    </row>
    <row r="1375" spans="1:10" x14ac:dyDescent="0.25">
      <c r="A1375" s="5"/>
      <c r="J1375" s="69"/>
    </row>
    <row r="1376" spans="1:10" x14ac:dyDescent="0.25">
      <c r="A1376" s="5"/>
      <c r="J1376" s="69"/>
    </row>
    <row r="1377" spans="1:10" x14ac:dyDescent="0.25">
      <c r="A1377" s="5"/>
      <c r="J1377" s="69"/>
    </row>
    <row r="1378" spans="1:10" x14ac:dyDescent="0.25">
      <c r="A1378" s="5"/>
      <c r="J1378" s="69"/>
    </row>
    <row r="1379" spans="1:10" x14ac:dyDescent="0.25">
      <c r="A1379" s="5"/>
      <c r="J1379" s="69"/>
    </row>
    <row r="1380" spans="1:10" x14ac:dyDescent="0.25">
      <c r="A1380" s="5"/>
      <c r="J1380" s="69"/>
    </row>
    <row r="1381" spans="1:10" x14ac:dyDescent="0.25">
      <c r="A1381" s="5"/>
      <c r="J1381" s="69"/>
    </row>
    <row r="1382" spans="1:10" x14ac:dyDescent="0.25">
      <c r="A1382" s="5"/>
      <c r="J1382" s="69"/>
    </row>
    <row r="1383" spans="1:10" x14ac:dyDescent="0.25">
      <c r="A1383" s="5"/>
      <c r="J1383" s="69"/>
    </row>
    <row r="1384" spans="1:10" x14ac:dyDescent="0.25">
      <c r="A1384" s="5"/>
      <c r="J1384" s="69"/>
    </row>
    <row r="1385" spans="1:10" x14ac:dyDescent="0.25">
      <c r="A1385" s="5"/>
      <c r="J1385" s="69"/>
    </row>
    <row r="1386" spans="1:10" x14ac:dyDescent="0.25">
      <c r="A1386" s="5"/>
      <c r="J1386" s="69"/>
    </row>
    <row r="1387" spans="1:10" x14ac:dyDescent="0.25">
      <c r="A1387" s="5"/>
      <c r="J1387" s="69"/>
    </row>
    <row r="1388" spans="1:10" x14ac:dyDescent="0.25">
      <c r="A1388" s="5"/>
      <c r="J1388" s="69"/>
    </row>
    <row r="1389" spans="1:10" x14ac:dyDescent="0.25">
      <c r="A1389" s="5"/>
      <c r="J1389" s="69"/>
    </row>
    <row r="1390" spans="1:10" x14ac:dyDescent="0.25">
      <c r="A1390" s="5"/>
      <c r="J1390" s="69"/>
    </row>
    <row r="1391" spans="1:10" x14ac:dyDescent="0.25">
      <c r="A1391" s="5"/>
      <c r="J1391" s="69"/>
    </row>
    <row r="1392" spans="1:10" x14ac:dyDescent="0.25">
      <c r="A1392" s="5"/>
      <c r="J1392" s="69"/>
    </row>
    <row r="1393" spans="1:10" x14ac:dyDescent="0.25">
      <c r="A1393" s="5"/>
      <c r="J1393" s="69"/>
    </row>
    <row r="1394" spans="1:10" x14ac:dyDescent="0.25">
      <c r="A1394" s="5"/>
      <c r="J1394" s="69"/>
    </row>
    <row r="1395" spans="1:10" x14ac:dyDescent="0.25">
      <c r="A1395" s="5"/>
      <c r="J1395" s="69"/>
    </row>
    <row r="1396" spans="1:10" x14ac:dyDescent="0.25">
      <c r="A1396" s="5"/>
      <c r="J1396" s="69"/>
    </row>
    <row r="1397" spans="1:10" x14ac:dyDescent="0.25">
      <c r="A1397" s="5"/>
      <c r="J1397" s="69"/>
    </row>
    <row r="1398" spans="1:10" x14ac:dyDescent="0.25">
      <c r="A1398" s="5"/>
      <c r="J1398" s="69"/>
    </row>
    <row r="1399" spans="1:10" x14ac:dyDescent="0.25">
      <c r="A1399" s="5"/>
      <c r="J1399" s="69"/>
    </row>
    <row r="1400" spans="1:10" x14ac:dyDescent="0.25">
      <c r="A1400" s="5"/>
      <c r="J1400" s="69"/>
    </row>
    <row r="1401" spans="1:10" x14ac:dyDescent="0.25">
      <c r="A1401" s="5"/>
      <c r="J1401" s="69"/>
    </row>
    <row r="1402" spans="1:10" x14ac:dyDescent="0.25">
      <c r="A1402" s="5"/>
      <c r="J1402" s="69"/>
    </row>
    <row r="1403" spans="1:10" x14ac:dyDescent="0.25">
      <c r="A1403" s="5"/>
      <c r="J1403" s="69"/>
    </row>
    <row r="1404" spans="1:10" x14ac:dyDescent="0.25">
      <c r="A1404" s="5"/>
      <c r="J1404" s="69"/>
    </row>
    <row r="1405" spans="1:10" x14ac:dyDescent="0.25">
      <c r="A1405" s="5"/>
      <c r="J1405" s="69"/>
    </row>
    <row r="1406" spans="1:10" x14ac:dyDescent="0.25">
      <c r="A1406" s="5"/>
      <c r="J1406" s="69"/>
    </row>
    <row r="1407" spans="1:10" x14ac:dyDescent="0.25">
      <c r="A1407" s="5"/>
      <c r="J1407" s="69"/>
    </row>
    <row r="1408" spans="1:10" x14ac:dyDescent="0.25">
      <c r="A1408" s="5"/>
      <c r="J1408" s="69"/>
    </row>
    <row r="1409" spans="1:10" x14ac:dyDescent="0.25">
      <c r="A1409" s="5"/>
      <c r="J1409" s="69"/>
    </row>
    <row r="1410" spans="1:10" x14ac:dyDescent="0.25">
      <c r="A1410" s="5"/>
      <c r="J1410" s="69"/>
    </row>
    <row r="1411" spans="1:10" x14ac:dyDescent="0.25">
      <c r="A1411" s="5"/>
      <c r="J1411" s="69"/>
    </row>
    <row r="1412" spans="1:10" x14ac:dyDescent="0.25">
      <c r="A1412" s="5"/>
      <c r="J1412" s="69"/>
    </row>
    <row r="1413" spans="1:10" x14ac:dyDescent="0.25">
      <c r="A1413" s="5"/>
      <c r="J1413" s="69"/>
    </row>
    <row r="1414" spans="1:10" x14ac:dyDescent="0.25">
      <c r="A1414" s="5"/>
      <c r="J1414" s="69"/>
    </row>
    <row r="1415" spans="1:10" x14ac:dyDescent="0.25">
      <c r="A1415" s="5"/>
      <c r="J1415" s="69"/>
    </row>
    <row r="1416" spans="1:10" x14ac:dyDescent="0.25">
      <c r="A1416" s="5"/>
      <c r="J1416" s="69"/>
    </row>
    <row r="1417" spans="1:10" x14ac:dyDescent="0.25">
      <c r="A1417" s="5"/>
      <c r="J1417" s="69"/>
    </row>
    <row r="1418" spans="1:10" x14ac:dyDescent="0.25">
      <c r="A1418" s="5"/>
      <c r="J1418" s="69"/>
    </row>
    <row r="1419" spans="1:10" x14ac:dyDescent="0.25">
      <c r="A1419" s="5"/>
      <c r="J1419" s="69"/>
    </row>
    <row r="1420" spans="1:10" x14ac:dyDescent="0.25">
      <c r="A1420" s="5"/>
      <c r="J1420" s="69"/>
    </row>
    <row r="1421" spans="1:10" x14ac:dyDescent="0.25">
      <c r="A1421" s="5"/>
      <c r="J1421" s="69"/>
    </row>
    <row r="1422" spans="1:10" x14ac:dyDescent="0.25">
      <c r="A1422" s="5"/>
      <c r="J1422" s="69"/>
    </row>
    <row r="1423" spans="1:10" x14ac:dyDescent="0.25">
      <c r="A1423" s="5"/>
      <c r="J1423" s="69"/>
    </row>
    <row r="1424" spans="1:10" x14ac:dyDescent="0.25">
      <c r="A1424" s="5"/>
      <c r="J1424" s="69"/>
    </row>
    <row r="1425" spans="1:10" x14ac:dyDescent="0.25">
      <c r="A1425" s="5"/>
      <c r="J1425" s="69"/>
    </row>
    <row r="1426" spans="1:10" x14ac:dyDescent="0.25">
      <c r="A1426" s="5"/>
      <c r="J1426" s="69"/>
    </row>
    <row r="1427" spans="1:10" x14ac:dyDescent="0.25">
      <c r="A1427" s="5"/>
      <c r="J1427" s="69"/>
    </row>
    <row r="1428" spans="1:10" x14ac:dyDescent="0.25">
      <c r="A1428" s="5"/>
      <c r="J1428" s="69"/>
    </row>
    <row r="1429" spans="1:10" x14ac:dyDescent="0.25">
      <c r="A1429" s="5"/>
      <c r="J1429" s="69"/>
    </row>
    <row r="1430" spans="1:10" x14ac:dyDescent="0.25">
      <c r="A1430" s="5"/>
      <c r="J1430" s="69"/>
    </row>
    <row r="1431" spans="1:10" x14ac:dyDescent="0.25">
      <c r="A1431" s="5"/>
      <c r="J1431" s="69"/>
    </row>
    <row r="1432" spans="1:10" x14ac:dyDescent="0.25">
      <c r="A1432" s="5"/>
      <c r="J1432" s="69"/>
    </row>
    <row r="1433" spans="1:10" x14ac:dyDescent="0.25">
      <c r="A1433" s="5"/>
      <c r="J1433" s="69"/>
    </row>
    <row r="1434" spans="1:10" x14ac:dyDescent="0.25">
      <c r="A1434" s="5"/>
      <c r="J1434" s="69"/>
    </row>
    <row r="1435" spans="1:10" x14ac:dyDescent="0.25">
      <c r="A1435" s="5"/>
      <c r="J1435" s="69"/>
    </row>
    <row r="1436" spans="1:10" x14ac:dyDescent="0.25">
      <c r="A1436" s="5"/>
      <c r="J1436" s="69"/>
    </row>
    <row r="1437" spans="1:10" x14ac:dyDescent="0.25">
      <c r="A1437" s="5"/>
      <c r="J1437" s="69"/>
    </row>
    <row r="1438" spans="1:10" x14ac:dyDescent="0.25">
      <c r="A1438" s="5"/>
      <c r="J1438" s="69"/>
    </row>
    <row r="1439" spans="1:10" x14ac:dyDescent="0.25">
      <c r="A1439" s="5"/>
      <c r="J1439" s="69"/>
    </row>
    <row r="1440" spans="1:10" x14ac:dyDescent="0.25">
      <c r="A1440" s="5"/>
      <c r="J1440" s="69"/>
    </row>
    <row r="1441" spans="1:10" x14ac:dyDescent="0.25">
      <c r="A1441" s="5"/>
      <c r="J1441" s="69"/>
    </row>
    <row r="1442" spans="1:10" x14ac:dyDescent="0.25">
      <c r="A1442" s="5"/>
      <c r="J1442" s="69"/>
    </row>
    <row r="1443" spans="1:10" x14ac:dyDescent="0.25">
      <c r="A1443" s="5"/>
      <c r="J1443" s="69"/>
    </row>
    <row r="1444" spans="1:10" x14ac:dyDescent="0.25">
      <c r="A1444" s="5"/>
      <c r="J1444" s="69"/>
    </row>
    <row r="1445" spans="1:10" x14ac:dyDescent="0.25">
      <c r="A1445" s="5"/>
      <c r="J1445" s="69"/>
    </row>
    <row r="1446" spans="1:10" x14ac:dyDescent="0.25">
      <c r="A1446" s="5"/>
      <c r="J1446" s="69"/>
    </row>
    <row r="1447" spans="1:10" x14ac:dyDescent="0.25">
      <c r="A1447" s="5"/>
      <c r="J1447" s="69"/>
    </row>
    <row r="1448" spans="1:10" x14ac:dyDescent="0.25">
      <c r="A1448" s="5"/>
      <c r="J1448" s="69"/>
    </row>
    <row r="1449" spans="1:10" x14ac:dyDescent="0.25">
      <c r="A1449" s="5"/>
      <c r="J1449" s="69"/>
    </row>
    <row r="1450" spans="1:10" x14ac:dyDescent="0.25">
      <c r="A1450" s="5"/>
      <c r="J1450" s="69"/>
    </row>
    <row r="1451" spans="1:10" x14ac:dyDescent="0.25">
      <c r="A1451" s="5"/>
      <c r="J1451" s="69"/>
    </row>
    <row r="1452" spans="1:10" x14ac:dyDescent="0.25">
      <c r="A1452" s="5"/>
      <c r="J1452" s="69"/>
    </row>
    <row r="1453" spans="1:10" x14ac:dyDescent="0.25">
      <c r="A1453" s="5"/>
      <c r="J1453" s="69"/>
    </row>
    <row r="1454" spans="1:10" x14ac:dyDescent="0.25">
      <c r="A1454" s="5"/>
      <c r="J1454" s="69"/>
    </row>
    <row r="1455" spans="1:10" x14ac:dyDescent="0.25">
      <c r="A1455" s="5"/>
      <c r="J1455" s="69"/>
    </row>
    <row r="1456" spans="1:10" x14ac:dyDescent="0.25">
      <c r="A1456" s="5"/>
      <c r="J1456" s="69"/>
    </row>
    <row r="1457" spans="1:10" x14ac:dyDescent="0.25">
      <c r="A1457" s="5"/>
      <c r="J1457" s="69"/>
    </row>
    <row r="1458" spans="1:10" x14ac:dyDescent="0.25">
      <c r="A1458" s="5"/>
      <c r="J1458" s="69"/>
    </row>
    <row r="1459" spans="1:10" x14ac:dyDescent="0.25">
      <c r="A1459" s="5"/>
      <c r="J1459" s="69"/>
    </row>
    <row r="1460" spans="1:10" x14ac:dyDescent="0.25">
      <c r="A1460" s="5"/>
      <c r="J1460" s="69"/>
    </row>
    <row r="1461" spans="1:10" x14ac:dyDescent="0.25">
      <c r="A1461" s="5"/>
      <c r="J1461" s="69"/>
    </row>
    <row r="1462" spans="1:10" x14ac:dyDescent="0.25">
      <c r="A1462" s="5"/>
      <c r="J1462" s="69"/>
    </row>
    <row r="1463" spans="1:10" x14ac:dyDescent="0.25">
      <c r="A1463" s="5"/>
      <c r="J1463" s="69"/>
    </row>
    <row r="1464" spans="1:10" x14ac:dyDescent="0.25">
      <c r="A1464" s="5"/>
      <c r="J1464" s="69"/>
    </row>
    <row r="1465" spans="1:10" x14ac:dyDescent="0.25">
      <c r="A1465" s="5"/>
      <c r="J1465" s="69"/>
    </row>
    <row r="1466" spans="1:10" x14ac:dyDescent="0.25">
      <c r="A1466" s="5"/>
      <c r="J1466" s="69"/>
    </row>
    <row r="1467" spans="1:10" x14ac:dyDescent="0.25">
      <c r="A1467" s="5"/>
      <c r="J1467" s="69"/>
    </row>
    <row r="1468" spans="1:10" x14ac:dyDescent="0.25">
      <c r="A1468" s="5"/>
      <c r="J1468" s="69"/>
    </row>
    <row r="1469" spans="1:10" x14ac:dyDescent="0.25">
      <c r="A1469" s="5"/>
      <c r="J1469" s="69"/>
    </row>
    <row r="1470" spans="1:10" x14ac:dyDescent="0.25">
      <c r="A1470" s="5"/>
      <c r="J1470" s="69"/>
    </row>
    <row r="1471" spans="1:10" x14ac:dyDescent="0.25">
      <c r="A1471" s="5"/>
      <c r="J1471" s="69"/>
    </row>
    <row r="1472" spans="1:10" x14ac:dyDescent="0.25">
      <c r="A1472" s="5"/>
      <c r="J1472" s="69"/>
    </row>
    <row r="1473" spans="1:10" x14ac:dyDescent="0.25">
      <c r="A1473" s="5"/>
      <c r="J1473" s="69"/>
    </row>
    <row r="1474" spans="1:10" x14ac:dyDescent="0.25">
      <c r="A1474" s="5"/>
      <c r="J1474" s="69"/>
    </row>
    <row r="1475" spans="1:10" x14ac:dyDescent="0.25">
      <c r="A1475" s="5"/>
      <c r="J1475" s="69"/>
    </row>
    <row r="1476" spans="1:10" x14ac:dyDescent="0.25">
      <c r="A1476" s="5"/>
      <c r="J1476" s="69"/>
    </row>
    <row r="1477" spans="1:10" x14ac:dyDescent="0.25">
      <c r="A1477" s="5"/>
      <c r="J1477" s="69"/>
    </row>
    <row r="1478" spans="1:10" x14ac:dyDescent="0.25">
      <c r="A1478" s="5"/>
      <c r="J1478" s="69"/>
    </row>
    <row r="1479" spans="1:10" x14ac:dyDescent="0.25">
      <c r="A1479" s="5"/>
      <c r="J1479" s="69"/>
    </row>
    <row r="1480" spans="1:10" x14ac:dyDescent="0.25">
      <c r="A1480" s="5"/>
      <c r="J1480" s="69"/>
    </row>
    <row r="1481" spans="1:10" x14ac:dyDescent="0.25">
      <c r="A1481" s="5"/>
      <c r="J1481" s="69"/>
    </row>
    <row r="1482" spans="1:10" x14ac:dyDescent="0.25">
      <c r="A1482" s="5"/>
      <c r="J1482" s="69"/>
    </row>
    <row r="1483" spans="1:10" x14ac:dyDescent="0.25">
      <c r="A1483" s="5"/>
      <c r="J1483" s="69"/>
    </row>
    <row r="1484" spans="1:10" x14ac:dyDescent="0.25">
      <c r="A1484" s="5"/>
      <c r="J1484" s="69"/>
    </row>
    <row r="1485" spans="1:10" x14ac:dyDescent="0.25">
      <c r="A1485" s="5"/>
      <c r="J1485" s="69"/>
    </row>
    <row r="1486" spans="1:10" x14ac:dyDescent="0.25">
      <c r="A1486" s="5"/>
      <c r="J1486" s="69"/>
    </row>
    <row r="1487" spans="1:10" x14ac:dyDescent="0.25">
      <c r="A1487" s="5"/>
      <c r="J1487" s="69"/>
    </row>
    <row r="1488" spans="1:10" x14ac:dyDescent="0.25">
      <c r="A1488" s="5"/>
      <c r="J1488" s="69"/>
    </row>
    <row r="1489" spans="1:10" x14ac:dyDescent="0.25">
      <c r="A1489" s="5"/>
      <c r="J1489" s="69"/>
    </row>
    <row r="1490" spans="1:10" x14ac:dyDescent="0.25">
      <c r="A1490" s="5"/>
      <c r="J1490" s="69"/>
    </row>
    <row r="1491" spans="1:10" x14ac:dyDescent="0.25">
      <c r="A1491" s="5"/>
      <c r="J1491" s="69"/>
    </row>
    <row r="1492" spans="1:10" x14ac:dyDescent="0.25">
      <c r="A1492" s="5"/>
      <c r="J1492" s="69"/>
    </row>
    <row r="1493" spans="1:10" x14ac:dyDescent="0.25">
      <c r="A1493" s="5"/>
      <c r="J1493" s="69"/>
    </row>
    <row r="1494" spans="1:10" x14ac:dyDescent="0.25">
      <c r="A1494" s="5"/>
      <c r="J1494" s="69"/>
    </row>
    <row r="1495" spans="1:10" x14ac:dyDescent="0.25">
      <c r="A1495" s="5"/>
      <c r="J1495" s="69"/>
    </row>
    <row r="1496" spans="1:10" x14ac:dyDescent="0.25">
      <c r="A1496" s="5"/>
      <c r="J1496" s="69"/>
    </row>
    <row r="1497" spans="1:10" x14ac:dyDescent="0.25">
      <c r="A1497" s="5"/>
      <c r="J1497" s="69"/>
    </row>
    <row r="1498" spans="1:10" x14ac:dyDescent="0.25">
      <c r="A1498" s="5"/>
      <c r="J1498" s="69"/>
    </row>
    <row r="1499" spans="1:10" x14ac:dyDescent="0.25">
      <c r="A1499" s="5"/>
      <c r="J1499" s="69"/>
    </row>
    <row r="1500" spans="1:10" x14ac:dyDescent="0.25">
      <c r="A1500" s="5"/>
      <c r="J1500" s="69"/>
    </row>
  </sheetData>
  <dataValidations count="1">
    <dataValidation type="list" allowBlank="1" showInputMessage="1" showErrorMessage="1" sqref="A2:A1500" xr:uid="{22FBE47A-AFBD-4096-B364-66A19FE68D2E}">
      <formula1>"Y,N"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290F-C2FA-4F86-BB22-CED9D646700F}">
  <sheetPr codeName="Sheet12">
    <tabColor rgb="FF2F5496"/>
  </sheetPr>
  <dimension ref="A1:W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C1"/>
    </sheetView>
  </sheetViews>
  <sheetFormatPr defaultRowHeight="15" x14ac:dyDescent="0.25"/>
  <cols>
    <col min="1" max="3" width="15.7109375" customWidth="1"/>
    <col min="4" max="18" width="6.7109375" customWidth="1"/>
  </cols>
  <sheetData>
    <row r="1" spans="1:23" ht="18" customHeight="1" x14ac:dyDescent="0.25">
      <c r="A1" s="85" t="s">
        <v>1572</v>
      </c>
      <c r="B1" s="81"/>
      <c r="C1" s="81"/>
      <c r="E1" s="27" t="s">
        <v>1534</v>
      </c>
      <c r="F1" s="28" t="s">
        <v>1571</v>
      </c>
      <c r="G1" s="28" t="s">
        <v>1626</v>
      </c>
    </row>
    <row r="2" spans="1:23" ht="48" customHeight="1" x14ac:dyDescent="0.25">
      <c r="A2" s="35"/>
      <c r="B2" s="26"/>
      <c r="C2" s="25"/>
    </row>
    <row r="3" spans="1:23" ht="30" customHeight="1" x14ac:dyDescent="0.25">
      <c r="A3" s="44" t="s">
        <v>1540</v>
      </c>
      <c r="B3" s="44" t="s">
        <v>1531</v>
      </c>
      <c r="C3" s="44" t="s">
        <v>1541</v>
      </c>
      <c r="D3" s="36" t="s">
        <v>1510</v>
      </c>
      <c r="E3" s="37" t="s">
        <v>1509</v>
      </c>
      <c r="F3" s="38" t="s">
        <v>1542</v>
      </c>
      <c r="G3" s="39" t="s">
        <v>1521</v>
      </c>
      <c r="H3" s="39" t="s">
        <v>1522</v>
      </c>
      <c r="I3" s="36" t="s">
        <v>1510</v>
      </c>
      <c r="J3" s="37" t="s">
        <v>1509</v>
      </c>
      <c r="K3" s="38" t="s">
        <v>1542</v>
      </c>
      <c r="L3" s="39" t="s">
        <v>1521</v>
      </c>
      <c r="M3" s="39" t="s">
        <v>1522</v>
      </c>
      <c r="N3" s="36" t="s">
        <v>1510</v>
      </c>
      <c r="O3" s="37" t="s">
        <v>1509</v>
      </c>
      <c r="P3" s="38" t="s">
        <v>1542</v>
      </c>
      <c r="Q3" s="39" t="s">
        <v>1521</v>
      </c>
      <c r="R3" s="39" t="s">
        <v>1522</v>
      </c>
      <c r="S3" s="104"/>
      <c r="T3" s="104"/>
      <c r="U3" s="104"/>
      <c r="V3" s="104"/>
      <c r="W3" s="104"/>
    </row>
    <row r="4" spans="1:23" ht="20.100000000000001" customHeight="1" x14ac:dyDescent="0.25">
      <c r="A4" s="44"/>
      <c r="B4" s="44"/>
      <c r="C4" s="44"/>
      <c r="D4" s="103">
        <v>46209</v>
      </c>
      <c r="E4" s="103">
        <v>46216</v>
      </c>
      <c r="F4" s="103">
        <v>46223</v>
      </c>
      <c r="G4" s="103">
        <v>46230</v>
      </c>
      <c r="H4" s="103">
        <v>46237</v>
      </c>
      <c r="I4" s="103">
        <v>46244</v>
      </c>
      <c r="J4" s="103">
        <v>46251</v>
      </c>
      <c r="K4" s="103">
        <v>46258</v>
      </c>
      <c r="L4" s="103">
        <v>46265</v>
      </c>
      <c r="M4" s="103">
        <v>46272</v>
      </c>
      <c r="N4" s="103">
        <v>46279</v>
      </c>
      <c r="O4" s="103">
        <v>46286</v>
      </c>
      <c r="P4" s="103">
        <v>46293</v>
      </c>
      <c r="Q4" s="103">
        <v>46300</v>
      </c>
      <c r="R4" s="103">
        <v>46307</v>
      </c>
      <c r="S4" s="104"/>
      <c r="T4" s="104"/>
      <c r="U4" s="104"/>
      <c r="V4" s="104"/>
      <c r="W4" s="104"/>
    </row>
    <row r="5" spans="1:23" ht="24" customHeight="1" x14ac:dyDescent="0.25">
      <c r="A5" s="40" t="s">
        <v>39</v>
      </c>
      <c r="B5" s="40">
        <v>400</v>
      </c>
      <c r="C5" s="41" t="s">
        <v>1504</v>
      </c>
      <c r="D5" s="104"/>
      <c r="E5" s="104"/>
      <c r="F5" s="104"/>
      <c r="G5" s="107"/>
      <c r="H5" s="107"/>
      <c r="I5" s="104"/>
      <c r="J5" s="104"/>
      <c r="K5" s="104"/>
      <c r="L5" s="86">
        <v>3</v>
      </c>
      <c r="M5" s="111"/>
      <c r="N5" s="104"/>
      <c r="O5" s="104"/>
      <c r="P5" s="104"/>
      <c r="Q5" s="104"/>
      <c r="R5" s="104"/>
      <c r="S5" s="104"/>
      <c r="T5" s="104"/>
      <c r="U5" s="104"/>
      <c r="V5" s="104"/>
      <c r="W5" s="104"/>
    </row>
    <row r="6" spans="1:23" ht="24" customHeight="1" x14ac:dyDescent="0.25">
      <c r="A6" s="40" t="s">
        <v>39</v>
      </c>
      <c r="B6" s="40">
        <v>300</v>
      </c>
      <c r="C6" s="41" t="s">
        <v>1505</v>
      </c>
      <c r="D6" s="104"/>
      <c r="E6" s="104"/>
      <c r="F6" s="104"/>
      <c r="G6" s="107"/>
      <c r="H6" s="107"/>
      <c r="I6" s="104"/>
      <c r="J6" s="104"/>
      <c r="K6" s="104"/>
      <c r="L6" s="112">
        <v>1</v>
      </c>
      <c r="M6" s="110"/>
      <c r="N6" s="104"/>
      <c r="O6" s="104"/>
      <c r="P6" s="104"/>
      <c r="Q6" s="104"/>
      <c r="R6" s="104"/>
      <c r="S6" s="104"/>
      <c r="T6" s="104"/>
      <c r="U6" s="104"/>
      <c r="V6" s="104"/>
      <c r="W6" s="104"/>
    </row>
    <row r="7" spans="1:23" ht="24" customHeight="1" thickBot="1" x14ac:dyDescent="0.3">
      <c r="A7" s="40" t="s">
        <v>39</v>
      </c>
      <c r="B7" s="40">
        <v>200</v>
      </c>
      <c r="C7" s="41" t="s">
        <v>2231</v>
      </c>
      <c r="D7" s="104"/>
      <c r="E7" s="104"/>
      <c r="F7" s="104"/>
      <c r="G7" s="107"/>
      <c r="H7" s="107"/>
      <c r="I7" s="104"/>
      <c r="J7" s="104"/>
      <c r="K7" s="104"/>
      <c r="L7" s="112">
        <v>1</v>
      </c>
      <c r="M7" s="110"/>
      <c r="N7" s="104"/>
      <c r="O7" s="104"/>
      <c r="P7" s="104"/>
      <c r="Q7" s="104"/>
      <c r="R7" s="104"/>
      <c r="S7" s="104"/>
      <c r="T7" s="104"/>
      <c r="U7" s="104"/>
      <c r="V7" s="104"/>
      <c r="W7" s="104"/>
    </row>
    <row r="8" spans="1:23" ht="24" customHeight="1" thickTop="1" thickBot="1" x14ac:dyDescent="0.3">
      <c r="A8" s="40" t="s">
        <v>39</v>
      </c>
      <c r="B8" s="40">
        <v>170</v>
      </c>
      <c r="C8" s="41" t="s">
        <v>2232</v>
      </c>
      <c r="D8" s="104"/>
      <c r="E8" s="104"/>
      <c r="F8" s="104"/>
      <c r="G8" s="107"/>
      <c r="H8" s="107"/>
      <c r="I8" s="107"/>
      <c r="J8" s="104"/>
      <c r="K8" s="104"/>
      <c r="L8" s="104"/>
      <c r="M8" s="104"/>
      <c r="N8" s="104"/>
      <c r="O8" s="78">
        <v>1</v>
      </c>
      <c r="P8" s="104"/>
      <c r="Q8" s="104"/>
      <c r="R8" s="104"/>
      <c r="S8" s="104"/>
      <c r="T8" s="104"/>
      <c r="U8" s="104"/>
      <c r="V8" s="104"/>
      <c r="W8" s="104"/>
    </row>
    <row r="9" spans="1:23" ht="24" customHeight="1" thickTop="1" thickBot="1" x14ac:dyDescent="0.3">
      <c r="A9" s="42" t="s">
        <v>118</v>
      </c>
      <c r="B9" s="42">
        <v>2500</v>
      </c>
      <c r="C9" s="41" t="s">
        <v>2233</v>
      </c>
      <c r="D9" s="104"/>
      <c r="E9" s="104"/>
      <c r="F9" s="104"/>
      <c r="G9" s="107"/>
      <c r="H9" s="107"/>
      <c r="I9" s="107"/>
      <c r="J9" s="104"/>
      <c r="K9" s="104"/>
      <c r="L9" s="104"/>
      <c r="M9" s="104"/>
      <c r="N9" s="15">
        <v>1</v>
      </c>
      <c r="O9" s="104"/>
      <c r="P9" s="104"/>
      <c r="Q9" s="104"/>
      <c r="R9" s="104"/>
      <c r="S9" s="104"/>
      <c r="T9" s="104"/>
      <c r="U9" s="104"/>
      <c r="V9" s="104"/>
      <c r="W9" s="104"/>
    </row>
    <row r="10" spans="1:23" ht="24" customHeight="1" thickTop="1" x14ac:dyDescent="0.25">
      <c r="A10" s="42" t="s">
        <v>118</v>
      </c>
      <c r="B10" s="42">
        <v>600</v>
      </c>
      <c r="C10" s="41" t="s">
        <v>1515</v>
      </c>
      <c r="D10" s="104"/>
      <c r="E10" s="104"/>
      <c r="F10" s="104"/>
      <c r="G10" s="113">
        <v>1</v>
      </c>
      <c r="H10" s="110"/>
      <c r="I10" s="104"/>
      <c r="J10" s="104"/>
      <c r="K10" s="104"/>
      <c r="L10" s="107"/>
      <c r="M10" s="107"/>
      <c r="N10" s="107"/>
      <c r="O10" s="107"/>
      <c r="P10" s="104"/>
      <c r="Q10" s="107"/>
      <c r="R10" s="107"/>
      <c r="S10" s="104"/>
      <c r="T10" s="104"/>
      <c r="U10" s="104"/>
      <c r="V10" s="104"/>
      <c r="W10" s="104"/>
    </row>
    <row r="11" spans="1:23" ht="24" customHeight="1" thickBot="1" x14ac:dyDescent="0.3">
      <c r="A11" s="42" t="s">
        <v>118</v>
      </c>
      <c r="B11" s="42">
        <v>400</v>
      </c>
      <c r="C11" s="41" t="s">
        <v>1561</v>
      </c>
      <c r="D11" s="104"/>
      <c r="E11" s="107"/>
      <c r="F11" s="104"/>
      <c r="G11" s="107"/>
      <c r="H11" s="107"/>
      <c r="I11" s="107"/>
      <c r="J11" s="107"/>
      <c r="K11" s="104"/>
      <c r="L11" s="113">
        <v>1</v>
      </c>
      <c r="M11" s="110"/>
      <c r="N11" s="107"/>
      <c r="O11" s="104"/>
      <c r="P11" s="104"/>
      <c r="Q11" s="104"/>
      <c r="R11" s="104"/>
      <c r="S11" s="104"/>
      <c r="T11" s="104"/>
      <c r="U11" s="104"/>
      <c r="V11" s="104"/>
      <c r="W11" s="104"/>
    </row>
    <row r="12" spans="1:23" ht="24" customHeight="1" thickTop="1" thickBot="1" x14ac:dyDescent="0.3">
      <c r="A12" s="42" t="s">
        <v>118</v>
      </c>
      <c r="B12" s="42">
        <v>200</v>
      </c>
      <c r="C12" s="41" t="s">
        <v>1450</v>
      </c>
      <c r="D12" s="104"/>
      <c r="E12" s="108">
        <v>4</v>
      </c>
      <c r="F12" s="107"/>
      <c r="G12" s="107"/>
      <c r="H12" s="107"/>
      <c r="I12" s="107"/>
      <c r="J12" s="107"/>
      <c r="K12" s="107"/>
      <c r="L12" s="107"/>
      <c r="M12" s="107"/>
      <c r="N12" s="15">
        <v>1</v>
      </c>
      <c r="O12" s="107"/>
      <c r="P12" s="104"/>
      <c r="Q12" s="104"/>
      <c r="R12" s="104"/>
      <c r="S12" s="104"/>
      <c r="T12" s="104"/>
      <c r="U12" s="104"/>
      <c r="V12" s="104"/>
      <c r="W12" s="104"/>
    </row>
    <row r="13" spans="1:23" ht="24" customHeight="1" thickTop="1" thickBot="1" x14ac:dyDescent="0.3">
      <c r="A13" s="42" t="s">
        <v>118</v>
      </c>
      <c r="B13" s="42">
        <v>150</v>
      </c>
      <c r="C13" s="41" t="s">
        <v>1451</v>
      </c>
      <c r="D13" s="107"/>
      <c r="E13" s="104"/>
      <c r="F13" s="107"/>
      <c r="G13" s="104"/>
      <c r="H13" s="104"/>
      <c r="I13" s="107"/>
      <c r="J13" s="104"/>
      <c r="K13" s="15">
        <v>1</v>
      </c>
      <c r="L13" s="107"/>
      <c r="M13" s="107"/>
      <c r="N13" s="104"/>
      <c r="O13" s="107"/>
      <c r="P13" s="104"/>
      <c r="Q13" s="104"/>
      <c r="R13" s="104"/>
      <c r="S13" s="104"/>
      <c r="T13" s="104"/>
      <c r="U13" s="104"/>
      <c r="V13" s="104"/>
      <c r="W13" s="104"/>
    </row>
    <row r="14" spans="1:23" ht="24" customHeight="1" thickTop="1" thickBot="1" x14ac:dyDescent="0.3">
      <c r="A14" s="42" t="s">
        <v>118</v>
      </c>
      <c r="B14" s="42">
        <v>100</v>
      </c>
      <c r="C14" s="41" t="s">
        <v>1452</v>
      </c>
      <c r="D14" s="104"/>
      <c r="E14" s="108">
        <v>1</v>
      </c>
      <c r="F14" s="104"/>
      <c r="G14" s="87">
        <v>4</v>
      </c>
      <c r="H14" s="114"/>
      <c r="I14" s="104"/>
      <c r="J14" s="104"/>
      <c r="K14" s="15">
        <v>2</v>
      </c>
      <c r="L14" s="88">
        <v>16</v>
      </c>
      <c r="M14" s="110"/>
      <c r="N14" s="104"/>
      <c r="O14" s="104"/>
      <c r="P14" s="104"/>
      <c r="Q14" s="107"/>
      <c r="R14" s="107"/>
      <c r="S14" s="104"/>
      <c r="T14" s="104"/>
      <c r="U14" s="104"/>
      <c r="V14" s="104"/>
      <c r="W14" s="104"/>
    </row>
    <row r="15" spans="1:23" ht="24" customHeight="1" thickTop="1" thickBot="1" x14ac:dyDescent="0.3">
      <c r="A15" s="42" t="s">
        <v>118</v>
      </c>
      <c r="B15" s="42">
        <v>50</v>
      </c>
      <c r="C15" s="41" t="s">
        <v>1453</v>
      </c>
      <c r="D15" s="104"/>
      <c r="E15" s="108">
        <v>1</v>
      </c>
      <c r="F15" s="104"/>
      <c r="G15" s="107"/>
      <c r="H15" s="107"/>
      <c r="I15" s="104"/>
      <c r="J15" s="15">
        <v>6</v>
      </c>
      <c r="K15" s="104"/>
      <c r="L15" s="113">
        <v>1</v>
      </c>
      <c r="M15" s="110"/>
      <c r="N15" s="104"/>
      <c r="O15" s="104"/>
      <c r="P15" s="104"/>
      <c r="Q15" s="107"/>
      <c r="R15" s="107"/>
      <c r="S15" s="104"/>
      <c r="T15" s="104"/>
      <c r="U15" s="104"/>
      <c r="V15" s="104"/>
      <c r="W15" s="104"/>
    </row>
    <row r="16" spans="1:23" ht="24" customHeight="1" thickTop="1" thickBot="1" x14ac:dyDescent="0.3">
      <c r="A16" s="42" t="s">
        <v>118</v>
      </c>
      <c r="B16" s="42">
        <v>25</v>
      </c>
      <c r="C16" s="41" t="s">
        <v>1454</v>
      </c>
      <c r="D16" s="108">
        <v>5</v>
      </c>
      <c r="E16" s="108">
        <v>3</v>
      </c>
      <c r="F16" s="15">
        <v>2</v>
      </c>
      <c r="G16" s="89">
        <v>7</v>
      </c>
      <c r="H16" s="110"/>
      <c r="I16" s="107"/>
      <c r="J16" s="15">
        <v>3</v>
      </c>
      <c r="K16" s="104"/>
      <c r="L16" s="113">
        <v>7</v>
      </c>
      <c r="M16" s="110"/>
      <c r="N16" s="104"/>
      <c r="O16" s="15">
        <v>3</v>
      </c>
      <c r="P16" s="104"/>
      <c r="Q16" s="104"/>
      <c r="R16" s="104"/>
      <c r="S16" s="104"/>
      <c r="T16" s="104"/>
      <c r="U16" s="104"/>
      <c r="V16" s="104"/>
      <c r="W16" s="104"/>
    </row>
    <row r="17" spans="1:23" ht="24" customHeight="1" thickTop="1" thickBot="1" x14ac:dyDescent="0.3">
      <c r="A17" s="43" t="s">
        <v>1225</v>
      </c>
      <c r="B17" s="43">
        <v>4368</v>
      </c>
      <c r="C17" s="41" t="s">
        <v>1569</v>
      </c>
      <c r="D17" s="104"/>
      <c r="E17" s="104"/>
      <c r="F17" s="104"/>
      <c r="G17" s="107"/>
      <c r="H17" s="107"/>
      <c r="I17" s="104"/>
      <c r="J17" s="104"/>
      <c r="K17" s="104"/>
      <c r="L17" s="90">
        <v>1</v>
      </c>
      <c r="M17" s="114"/>
      <c r="N17" s="104"/>
      <c r="O17" s="104"/>
      <c r="P17" s="104"/>
      <c r="Q17" s="107"/>
      <c r="R17" s="107"/>
      <c r="S17" s="104"/>
      <c r="T17" s="104"/>
      <c r="U17" s="104"/>
      <c r="V17" s="104"/>
      <c r="W17" s="104"/>
    </row>
    <row r="18" spans="1:23" ht="24" customHeight="1" thickTop="1" x14ac:dyDescent="0.25">
      <c r="A18" s="43" t="s">
        <v>1225</v>
      </c>
      <c r="B18" s="43">
        <v>2184</v>
      </c>
      <c r="C18" s="41" t="s">
        <v>1557</v>
      </c>
      <c r="D18" s="104"/>
      <c r="E18" s="104"/>
      <c r="F18" s="104"/>
      <c r="G18" s="107"/>
      <c r="H18" s="107"/>
      <c r="I18" s="104"/>
      <c r="J18" s="107"/>
      <c r="K18" s="104"/>
      <c r="L18" s="91">
        <v>1</v>
      </c>
      <c r="M18" s="117"/>
      <c r="N18" s="107"/>
      <c r="O18" s="107"/>
      <c r="P18" s="104"/>
      <c r="Q18" s="107"/>
      <c r="R18" s="107"/>
      <c r="S18" s="104"/>
      <c r="T18" s="104"/>
      <c r="U18" s="104"/>
      <c r="V18" s="104"/>
      <c r="W18" s="104"/>
    </row>
    <row r="19" spans="1:23" ht="24" customHeight="1" x14ac:dyDescent="0.25">
      <c r="A19" s="43" t="s">
        <v>1225</v>
      </c>
      <c r="B19" s="43">
        <v>728</v>
      </c>
      <c r="C19" s="41" t="s">
        <v>1455</v>
      </c>
      <c r="D19" s="104"/>
      <c r="E19" s="104"/>
      <c r="F19" s="104"/>
      <c r="G19" s="118">
        <v>4</v>
      </c>
      <c r="H19" s="110"/>
      <c r="I19" s="107"/>
      <c r="J19" s="104"/>
      <c r="K19" s="104"/>
      <c r="L19" s="107"/>
      <c r="M19" s="107"/>
      <c r="N19" s="104"/>
      <c r="O19" s="104"/>
      <c r="P19" s="104"/>
      <c r="Q19" s="104"/>
      <c r="R19" s="104"/>
      <c r="S19" s="104"/>
      <c r="T19" s="104"/>
      <c r="U19" s="104"/>
      <c r="V19" s="104"/>
      <c r="W19" s="104"/>
    </row>
    <row r="20" spans="1:23" ht="24" customHeight="1" thickBot="1" x14ac:dyDescent="0.3">
      <c r="A20" s="43" t="s">
        <v>1225</v>
      </c>
      <c r="B20" s="43">
        <v>546</v>
      </c>
      <c r="C20" s="41" t="s">
        <v>1507</v>
      </c>
      <c r="D20" s="104"/>
      <c r="E20" s="104"/>
      <c r="F20" s="104"/>
      <c r="G20" s="107"/>
      <c r="H20" s="107"/>
      <c r="I20" s="104"/>
      <c r="J20" s="104"/>
      <c r="K20" s="104"/>
      <c r="L20" s="116">
        <v>1</v>
      </c>
      <c r="M20" s="110"/>
      <c r="N20" s="104"/>
      <c r="O20" s="104"/>
      <c r="P20" s="104"/>
      <c r="Q20" s="107"/>
      <c r="R20" s="107"/>
      <c r="S20" s="104"/>
      <c r="T20" s="104"/>
      <c r="U20" s="104"/>
      <c r="V20" s="104"/>
      <c r="W20" s="104"/>
    </row>
    <row r="21" spans="1:23" ht="24" customHeight="1" thickTop="1" thickBot="1" x14ac:dyDescent="0.3">
      <c r="A21" s="43" t="s">
        <v>1225</v>
      </c>
      <c r="B21" s="43">
        <v>365</v>
      </c>
      <c r="C21" s="41" t="s">
        <v>1508</v>
      </c>
      <c r="D21" s="14">
        <v>1</v>
      </c>
      <c r="E21" s="104"/>
      <c r="F21" s="104"/>
      <c r="G21" s="107"/>
      <c r="H21" s="107"/>
      <c r="I21" s="104"/>
      <c r="J21" s="104"/>
      <c r="K21" s="107"/>
      <c r="L21" s="116">
        <v>1</v>
      </c>
      <c r="M21" s="110"/>
      <c r="N21" s="107"/>
      <c r="O21" s="107"/>
      <c r="P21" s="104"/>
      <c r="Q21" s="107"/>
      <c r="R21" s="107"/>
      <c r="S21" s="104"/>
      <c r="T21" s="104"/>
      <c r="U21" s="104"/>
      <c r="V21" s="104"/>
      <c r="W21" s="104"/>
    </row>
    <row r="22" spans="1:23" ht="24" customHeight="1" thickTop="1" thickBot="1" x14ac:dyDescent="0.3">
      <c r="A22" s="43" t="s">
        <v>1225</v>
      </c>
      <c r="B22" s="43">
        <v>364</v>
      </c>
      <c r="C22" s="41" t="s">
        <v>1456</v>
      </c>
      <c r="D22" s="107"/>
      <c r="E22" s="104"/>
      <c r="F22" s="104"/>
      <c r="G22" s="118">
        <v>2</v>
      </c>
      <c r="H22" s="110"/>
      <c r="I22" s="104"/>
      <c r="J22" s="104"/>
      <c r="K22" s="104"/>
      <c r="L22" s="116">
        <v>18</v>
      </c>
      <c r="M22" s="110"/>
      <c r="N22" s="104"/>
      <c r="O22" s="104"/>
      <c r="P22" s="107"/>
      <c r="Q22" s="104"/>
      <c r="R22" s="104"/>
      <c r="S22" s="104"/>
      <c r="T22" s="104"/>
      <c r="U22" s="104"/>
      <c r="V22" s="104"/>
      <c r="W22" s="104"/>
    </row>
    <row r="23" spans="1:23" ht="24" customHeight="1" thickTop="1" thickBot="1" x14ac:dyDescent="0.3">
      <c r="A23" s="43" t="s">
        <v>1225</v>
      </c>
      <c r="B23" s="43">
        <v>182</v>
      </c>
      <c r="C23" s="41" t="s">
        <v>1457</v>
      </c>
      <c r="D23" s="104"/>
      <c r="E23" s="104"/>
      <c r="F23" s="104"/>
      <c r="G23" s="116">
        <v>1</v>
      </c>
      <c r="H23" s="115"/>
      <c r="I23" s="14">
        <v>1</v>
      </c>
      <c r="J23" s="14">
        <v>2</v>
      </c>
      <c r="K23" s="104"/>
      <c r="L23" s="90">
        <v>5</v>
      </c>
      <c r="M23" s="114"/>
      <c r="N23" s="107"/>
      <c r="O23" s="104"/>
      <c r="P23" s="104"/>
      <c r="Q23" s="104"/>
      <c r="R23" s="104"/>
      <c r="S23" s="104"/>
      <c r="T23" s="104"/>
      <c r="U23" s="104"/>
      <c r="V23" s="104"/>
      <c r="W23" s="104"/>
    </row>
    <row r="24" spans="1:23" ht="24" customHeight="1" thickTop="1" x14ac:dyDescent="0.25">
      <c r="A24" s="43" t="s">
        <v>1225</v>
      </c>
      <c r="B24" s="43">
        <v>180</v>
      </c>
      <c r="C24" s="41" t="s">
        <v>1550</v>
      </c>
      <c r="D24" s="104"/>
      <c r="E24" s="104"/>
      <c r="F24" s="104"/>
      <c r="G24" s="104"/>
      <c r="H24" s="104"/>
      <c r="I24" s="104"/>
      <c r="J24" s="104"/>
      <c r="K24" s="104"/>
      <c r="L24" s="91">
        <v>2</v>
      </c>
      <c r="M24" s="117"/>
      <c r="N24" s="104"/>
      <c r="O24" s="104"/>
      <c r="P24" s="107"/>
      <c r="Q24" s="104"/>
      <c r="R24" s="104"/>
      <c r="S24" s="104"/>
      <c r="T24" s="104"/>
      <c r="U24" s="104"/>
      <c r="V24" s="104"/>
      <c r="W24" s="104"/>
    </row>
    <row r="25" spans="1:23" ht="24" customHeight="1" thickBot="1" x14ac:dyDescent="0.3">
      <c r="A25" s="43" t="s">
        <v>1225</v>
      </c>
      <c r="B25" s="43">
        <v>91</v>
      </c>
      <c r="C25" s="41" t="s">
        <v>1458</v>
      </c>
      <c r="D25" s="104"/>
      <c r="E25" s="104"/>
      <c r="F25" s="104"/>
      <c r="G25" s="118">
        <v>2</v>
      </c>
      <c r="H25" s="110"/>
      <c r="I25" s="104"/>
      <c r="J25" s="104"/>
      <c r="K25" s="104"/>
      <c r="L25" s="107"/>
      <c r="M25" s="107"/>
      <c r="N25" s="104"/>
      <c r="O25" s="104"/>
      <c r="P25" s="107"/>
      <c r="Q25" s="104"/>
      <c r="R25" s="104"/>
      <c r="S25" s="104"/>
      <c r="T25" s="104"/>
      <c r="U25" s="104"/>
      <c r="V25" s="104"/>
      <c r="W25" s="104"/>
    </row>
    <row r="26" spans="1:23" ht="24" customHeight="1" thickTop="1" thickBot="1" x14ac:dyDescent="0.3">
      <c r="A26" s="43" t="s">
        <v>1225</v>
      </c>
      <c r="B26" s="43">
        <v>90</v>
      </c>
      <c r="C26" s="41" t="s">
        <v>1459</v>
      </c>
      <c r="D26" s="104"/>
      <c r="E26" s="104"/>
      <c r="F26" s="104"/>
      <c r="G26" s="87">
        <v>4</v>
      </c>
      <c r="H26" s="114"/>
      <c r="I26" s="14">
        <v>1</v>
      </c>
      <c r="J26" s="107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</row>
    <row r="27" spans="1:23" ht="24" customHeight="1" thickTop="1" thickBot="1" x14ac:dyDescent="0.3">
      <c r="A27" s="43" t="s">
        <v>1225</v>
      </c>
      <c r="B27" s="43">
        <v>30</v>
      </c>
      <c r="C27" s="41" t="s">
        <v>1460</v>
      </c>
      <c r="D27" s="104"/>
      <c r="E27" s="104"/>
      <c r="F27" s="104"/>
      <c r="G27" s="91">
        <v>7</v>
      </c>
      <c r="H27" s="117"/>
      <c r="I27" s="104"/>
      <c r="J27" s="104"/>
      <c r="K27" s="109">
        <v>7</v>
      </c>
      <c r="L27" s="104"/>
      <c r="M27" s="104"/>
      <c r="N27" s="104"/>
      <c r="O27" s="109">
        <v>6</v>
      </c>
      <c r="P27" s="109">
        <v>1</v>
      </c>
      <c r="Q27" s="104"/>
      <c r="R27" s="104"/>
      <c r="S27" s="104"/>
      <c r="T27" s="104"/>
      <c r="U27" s="104"/>
      <c r="V27" s="104"/>
      <c r="W27" s="104"/>
    </row>
    <row r="28" spans="1:23" ht="24" customHeight="1" thickTop="1" thickBot="1" x14ac:dyDescent="0.3">
      <c r="A28" s="43" t="s">
        <v>1225</v>
      </c>
      <c r="B28" s="43">
        <v>28</v>
      </c>
      <c r="C28" s="41" t="s">
        <v>1461</v>
      </c>
      <c r="D28" s="14">
        <v>1</v>
      </c>
      <c r="E28" s="104"/>
      <c r="F28" s="104"/>
      <c r="G28" s="90">
        <v>1</v>
      </c>
      <c r="H28" s="114"/>
      <c r="I28" s="104"/>
      <c r="J28" s="104"/>
      <c r="K28" s="14">
        <v>1</v>
      </c>
      <c r="L28" s="104"/>
      <c r="M28" s="104"/>
      <c r="N28" s="104"/>
      <c r="O28" s="14">
        <v>1</v>
      </c>
      <c r="P28" s="104"/>
      <c r="Q28" s="104"/>
      <c r="R28" s="104"/>
      <c r="S28" s="104"/>
      <c r="T28" s="104"/>
      <c r="U28" s="104"/>
      <c r="V28" s="104"/>
      <c r="W28" s="104"/>
    </row>
    <row r="29" spans="1:23" ht="24" customHeight="1" thickTop="1" thickBot="1" x14ac:dyDescent="0.3">
      <c r="A29" s="43" t="s">
        <v>1225</v>
      </c>
      <c r="B29" s="43">
        <v>0</v>
      </c>
      <c r="C29" s="41" t="s">
        <v>1462</v>
      </c>
      <c r="D29" s="104"/>
      <c r="E29" s="14">
        <v>3</v>
      </c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</row>
    <row r="30" spans="1:23" ht="15.75" thickTop="1" x14ac:dyDescent="0.25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</row>
    <row r="31" spans="1:23" x14ac:dyDescent="0.25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</row>
    <row r="32" spans="1:23" x14ac:dyDescent="0.25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</row>
    <row r="33" spans="1:23" x14ac:dyDescent="0.25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</row>
    <row r="34" spans="1:23" x14ac:dyDescent="0.25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</row>
    <row r="35" spans="1:23" x14ac:dyDescent="0.2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</row>
    <row r="36" spans="1:23" x14ac:dyDescent="0.25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</row>
    <row r="37" spans="1:23" x14ac:dyDescent="0.25">
      <c r="A37" s="104"/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</row>
    <row r="38" spans="1:23" x14ac:dyDescent="0.25">
      <c r="A38" s="104"/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</row>
    <row r="39" spans="1:23" x14ac:dyDescent="0.25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</row>
  </sheetData>
  <mergeCells count="25">
    <mergeCell ref="G26:H26"/>
    <mergeCell ref="G27:H27"/>
    <mergeCell ref="G28:H28"/>
    <mergeCell ref="L22:M22"/>
    <mergeCell ref="L23:M23"/>
    <mergeCell ref="L24:M24"/>
    <mergeCell ref="G25:H25"/>
    <mergeCell ref="G22:H22"/>
    <mergeCell ref="G23:H23"/>
    <mergeCell ref="L21:M21"/>
    <mergeCell ref="L17:M17"/>
    <mergeCell ref="L18:M18"/>
    <mergeCell ref="G19:H19"/>
    <mergeCell ref="L20:M20"/>
    <mergeCell ref="L11:M11"/>
    <mergeCell ref="G14:H14"/>
    <mergeCell ref="L14:M14"/>
    <mergeCell ref="L15:M15"/>
    <mergeCell ref="G16:H16"/>
    <mergeCell ref="L16:M16"/>
    <mergeCell ref="A1:C1"/>
    <mergeCell ref="L5:M5"/>
    <mergeCell ref="L6:M6"/>
    <mergeCell ref="L7:M7"/>
    <mergeCell ref="G10:H10"/>
  </mergeCells>
  <hyperlinks>
    <hyperlink ref="F1" location="'ZZ382_CHART'!A1" display="ZZ382" xr:uid="{B3F0BF23-9D7D-4A8E-9D8F-D84BFBF05A72}"/>
    <hyperlink ref="G1" location="'ZZ388_CHART'!A1" display="ZZ388" xr:uid="{0DB42E3A-C8B1-4160-9313-144B46943A7A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6769" r:id="rId3" name="ZZ382_btnReturn">
              <controlPr defaultSize="0" print="0" autoFill="0" autoPict="0" macro="[0]!GoToDashboard">
                <anchor moveWithCells="1" sizeWithCells="1">
                  <from>
                    <xdr:col>0</xdr:col>
                    <xdr:colOff>66675</xdr:colOff>
                    <xdr:row>1</xdr:row>
                    <xdr:rowOff>28575</xdr:rowOff>
                  </from>
                  <to>
                    <xdr:col>0</xdr:col>
                    <xdr:colOff>895350</xdr:colOff>
                    <xdr:row>1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70" r:id="rId4" name="ZZ382_btnWorkPack">
              <controlPr defaultSize="0" print="0" autoFill="0" autoPict="0" macro="[0]!GenerateWordWorkPack">
                <anchor moveWithCells="1" sizeWithCells="1">
                  <from>
                    <xdr:col>1</xdr:col>
                    <xdr:colOff>66675</xdr:colOff>
                    <xdr:row>1</xdr:row>
                    <xdr:rowOff>28575</xdr:rowOff>
                  </from>
                  <to>
                    <xdr:col>1</xdr:col>
                    <xdr:colOff>895350</xdr:colOff>
                    <xdr:row>1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71" r:id="rId5" name="ZZ382_btnReimport">
              <controlPr defaultSize="0" print="0" autoFill="0" autoPict="0" macro="[0]!ReimportFromChartButton">
                <anchor moveWithCells="1" sizeWithCells="1">
                  <from>
                    <xdr:col>2</xdr:col>
                    <xdr:colOff>66675</xdr:colOff>
                    <xdr:row>1</xdr:row>
                    <xdr:rowOff>28575</xdr:rowOff>
                  </from>
                  <to>
                    <xdr:col>2</xdr:col>
                    <xdr:colOff>885825</xdr:colOff>
                    <xdr:row>1</xdr:row>
                    <xdr:rowOff>590550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3995-53F4-4A73-8881-BD3AF0F5779B}">
  <sheetPr codeName="Sheet19">
    <tabColor rgb="FF808080"/>
  </sheetPr>
  <dimension ref="A1:M15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8.5703125" customWidth="1"/>
    <col min="2" max="2" width="18.5703125" customWidth="1"/>
    <col min="3" max="3" width="14.5703125" customWidth="1"/>
    <col min="4" max="4" width="22.5703125" customWidth="1"/>
    <col min="5" max="5" width="14.5703125" customWidth="1"/>
    <col min="6" max="6" width="50.5703125" customWidth="1"/>
    <col min="7" max="8" width="14.5703125" customWidth="1"/>
    <col min="9" max="9" width="12.5703125" customWidth="1"/>
    <col min="10" max="10" width="18.5703125" customWidth="1"/>
    <col min="11" max="11" width="16.5703125" customWidth="1"/>
    <col min="13" max="13" width="20.5703125" customWidth="1"/>
  </cols>
  <sheetData>
    <row r="1" spans="1:13" x14ac:dyDescent="0.25">
      <c r="A1" s="12" t="s">
        <v>33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M1" s="13" t="s">
        <v>1476</v>
      </c>
    </row>
    <row r="2" spans="1:13" x14ac:dyDescent="0.25">
      <c r="A2" s="5" t="s">
        <v>1463</v>
      </c>
      <c r="B2" t="s">
        <v>35</v>
      </c>
      <c r="C2" t="s">
        <v>38</v>
      </c>
      <c r="D2" t="s">
        <v>36</v>
      </c>
      <c r="E2">
        <v>0</v>
      </c>
      <c r="F2" t="s">
        <v>37</v>
      </c>
      <c r="G2" t="s">
        <v>1626</v>
      </c>
      <c r="H2" t="s">
        <v>38</v>
      </c>
      <c r="I2" s="8">
        <v>0</v>
      </c>
      <c r="J2" s="69"/>
      <c r="K2" t="s">
        <v>1626</v>
      </c>
      <c r="M2" s="70">
        <v>46209.667361111111</v>
      </c>
    </row>
    <row r="3" spans="1:13" x14ac:dyDescent="0.25">
      <c r="A3" s="5" t="s">
        <v>22</v>
      </c>
      <c r="B3" t="s">
        <v>39</v>
      </c>
      <c r="C3" s="8">
        <v>44.739583333333336</v>
      </c>
      <c r="D3" t="s">
        <v>62</v>
      </c>
      <c r="E3">
        <v>0</v>
      </c>
      <c r="F3" t="s">
        <v>63</v>
      </c>
      <c r="G3" t="s">
        <v>1628</v>
      </c>
      <c r="H3" s="9">
        <v>62.5</v>
      </c>
      <c r="I3" s="8">
        <v>0</v>
      </c>
      <c r="J3" s="69"/>
      <c r="K3" t="s">
        <v>1626</v>
      </c>
    </row>
    <row r="4" spans="1:13" x14ac:dyDescent="0.25">
      <c r="A4" s="5" t="s">
        <v>22</v>
      </c>
      <c r="B4" t="s">
        <v>39</v>
      </c>
      <c r="C4" s="9">
        <v>3.7020833333333334</v>
      </c>
      <c r="D4" t="s">
        <v>1629</v>
      </c>
      <c r="E4">
        <v>0</v>
      </c>
      <c r="F4" t="s">
        <v>63</v>
      </c>
      <c r="G4" t="s">
        <v>1628</v>
      </c>
      <c r="H4" s="9">
        <v>12.5</v>
      </c>
      <c r="I4" s="8">
        <v>0</v>
      </c>
      <c r="J4" s="69"/>
      <c r="K4" t="s">
        <v>1626</v>
      </c>
    </row>
    <row r="5" spans="1:13" x14ac:dyDescent="0.25">
      <c r="A5" s="5" t="s">
        <v>22</v>
      </c>
      <c r="B5" t="s">
        <v>39</v>
      </c>
      <c r="C5" s="9">
        <v>12.816666666666666</v>
      </c>
      <c r="D5" t="s">
        <v>52</v>
      </c>
      <c r="E5">
        <v>0</v>
      </c>
      <c r="F5" t="s">
        <v>53</v>
      </c>
      <c r="G5" t="s">
        <v>1628</v>
      </c>
      <c r="H5" s="9">
        <v>16.666666666666668</v>
      </c>
      <c r="I5" s="8">
        <v>0</v>
      </c>
      <c r="J5" s="69"/>
      <c r="K5" t="s">
        <v>1626</v>
      </c>
    </row>
    <row r="6" spans="1:13" x14ac:dyDescent="0.25">
      <c r="A6" s="5" t="s">
        <v>22</v>
      </c>
      <c r="B6" t="s">
        <v>39</v>
      </c>
      <c r="C6" s="9">
        <v>3.3965277777777776</v>
      </c>
      <c r="D6" t="s">
        <v>1573</v>
      </c>
      <c r="E6">
        <v>0</v>
      </c>
      <c r="F6" t="s">
        <v>1574</v>
      </c>
      <c r="G6" t="s">
        <v>1628</v>
      </c>
      <c r="H6" s="9">
        <v>8.3333333333333339</v>
      </c>
      <c r="I6" s="8">
        <v>0</v>
      </c>
      <c r="J6" s="69"/>
      <c r="K6" t="s">
        <v>1626</v>
      </c>
    </row>
    <row r="7" spans="1:13" x14ac:dyDescent="0.25">
      <c r="A7" s="5" t="s">
        <v>22</v>
      </c>
      <c r="B7" t="s">
        <v>39</v>
      </c>
      <c r="C7" s="9">
        <v>37.81666666666667</v>
      </c>
      <c r="D7" t="s">
        <v>40</v>
      </c>
      <c r="E7">
        <v>0</v>
      </c>
      <c r="F7" t="s">
        <v>41</v>
      </c>
      <c r="G7" t="s">
        <v>1628</v>
      </c>
      <c r="H7" s="9">
        <v>41.666666666666664</v>
      </c>
      <c r="I7" s="8">
        <v>0</v>
      </c>
      <c r="J7" s="69"/>
      <c r="K7" t="s">
        <v>1626</v>
      </c>
    </row>
    <row r="8" spans="1:13" x14ac:dyDescent="0.25">
      <c r="A8" s="5" t="s">
        <v>22</v>
      </c>
      <c r="B8" t="s">
        <v>39</v>
      </c>
      <c r="C8" s="9">
        <v>37.81666666666667</v>
      </c>
      <c r="D8" t="s">
        <v>42</v>
      </c>
      <c r="E8">
        <v>0</v>
      </c>
      <c r="F8" t="s">
        <v>43</v>
      </c>
      <c r="G8" t="s">
        <v>1628</v>
      </c>
      <c r="H8" s="9">
        <v>41.666666666666664</v>
      </c>
      <c r="I8" s="8">
        <v>0</v>
      </c>
      <c r="J8" s="69"/>
      <c r="K8" t="s">
        <v>1626</v>
      </c>
    </row>
    <row r="9" spans="1:13" x14ac:dyDescent="0.25">
      <c r="A9" s="5" t="s">
        <v>22</v>
      </c>
      <c r="B9" t="s">
        <v>39</v>
      </c>
      <c r="C9" s="9">
        <v>12.816666666666666</v>
      </c>
      <c r="D9" t="s">
        <v>44</v>
      </c>
      <c r="E9">
        <v>0</v>
      </c>
      <c r="F9" t="s">
        <v>45</v>
      </c>
      <c r="G9" t="s">
        <v>1628</v>
      </c>
      <c r="H9" s="9">
        <v>16.666666666666668</v>
      </c>
      <c r="I9" s="8">
        <v>0</v>
      </c>
      <c r="J9" s="69"/>
      <c r="K9" t="s">
        <v>1626</v>
      </c>
    </row>
    <row r="10" spans="1:13" x14ac:dyDescent="0.25">
      <c r="A10" s="5" t="s">
        <v>22</v>
      </c>
      <c r="B10" t="s">
        <v>39</v>
      </c>
      <c r="C10" s="9">
        <v>12.816666666666666</v>
      </c>
      <c r="D10" t="s">
        <v>46</v>
      </c>
      <c r="E10">
        <v>0</v>
      </c>
      <c r="F10" t="s">
        <v>47</v>
      </c>
      <c r="G10" t="s">
        <v>1628</v>
      </c>
      <c r="H10" s="9">
        <v>16.666666666666668</v>
      </c>
      <c r="I10" s="8">
        <v>0</v>
      </c>
      <c r="J10" s="69"/>
      <c r="K10" t="s">
        <v>1626</v>
      </c>
    </row>
    <row r="11" spans="1:13" x14ac:dyDescent="0.25">
      <c r="A11" s="5" t="s">
        <v>22</v>
      </c>
      <c r="B11" t="s">
        <v>39</v>
      </c>
      <c r="C11" s="9">
        <v>12.816666666666666</v>
      </c>
      <c r="D11" t="s">
        <v>54</v>
      </c>
      <c r="E11">
        <v>0</v>
      </c>
      <c r="F11" t="s">
        <v>55</v>
      </c>
      <c r="G11" t="s">
        <v>1628</v>
      </c>
      <c r="H11" s="9">
        <v>16.666666666666668</v>
      </c>
      <c r="I11" s="8">
        <v>0</v>
      </c>
      <c r="J11" s="69"/>
      <c r="K11" t="s">
        <v>1626</v>
      </c>
    </row>
    <row r="12" spans="1:13" x14ac:dyDescent="0.25">
      <c r="A12" s="5" t="s">
        <v>22</v>
      </c>
      <c r="B12" t="s">
        <v>39</v>
      </c>
      <c r="C12" s="9">
        <v>12.816666666666666</v>
      </c>
      <c r="D12" t="s">
        <v>56</v>
      </c>
      <c r="E12">
        <v>0</v>
      </c>
      <c r="F12" t="s">
        <v>57</v>
      </c>
      <c r="G12" t="s">
        <v>1628</v>
      </c>
      <c r="H12" s="9">
        <v>16.666666666666668</v>
      </c>
      <c r="I12" s="8">
        <v>0</v>
      </c>
      <c r="J12" s="69"/>
      <c r="K12" t="s">
        <v>1626</v>
      </c>
    </row>
    <row r="13" spans="1:13" x14ac:dyDescent="0.25">
      <c r="A13" s="5" t="s">
        <v>22</v>
      </c>
      <c r="B13" t="s">
        <v>39</v>
      </c>
      <c r="C13" s="9">
        <v>332.19305555555553</v>
      </c>
      <c r="D13" t="s">
        <v>71</v>
      </c>
      <c r="E13">
        <v>0</v>
      </c>
      <c r="F13" t="s">
        <v>72</v>
      </c>
      <c r="G13" t="s">
        <v>1628</v>
      </c>
      <c r="H13" s="9" t="s">
        <v>66</v>
      </c>
      <c r="I13" s="8">
        <v>0</v>
      </c>
      <c r="J13" s="69"/>
      <c r="K13" t="s">
        <v>1626</v>
      </c>
    </row>
    <row r="14" spans="1:13" x14ac:dyDescent="0.25">
      <c r="A14" s="5" t="s">
        <v>22</v>
      </c>
      <c r="B14" t="s">
        <v>39</v>
      </c>
      <c r="C14" s="9">
        <v>3.3965277777777776</v>
      </c>
      <c r="D14" t="s">
        <v>1575</v>
      </c>
      <c r="E14">
        <v>0</v>
      </c>
      <c r="F14" t="s">
        <v>1576</v>
      </c>
      <c r="G14" t="s">
        <v>1628</v>
      </c>
      <c r="H14" s="9">
        <v>7.2465277777777777</v>
      </c>
      <c r="I14" s="8">
        <v>0</v>
      </c>
      <c r="J14" s="69"/>
      <c r="K14" t="s">
        <v>1626</v>
      </c>
    </row>
    <row r="15" spans="1:13" x14ac:dyDescent="0.25">
      <c r="A15" s="5" t="s">
        <v>22</v>
      </c>
      <c r="B15" t="s">
        <v>39</v>
      </c>
      <c r="C15" s="9">
        <v>332.26666666666665</v>
      </c>
      <c r="D15" t="s">
        <v>73</v>
      </c>
      <c r="E15">
        <v>0</v>
      </c>
      <c r="F15" t="s">
        <v>74</v>
      </c>
      <c r="G15">
        <v>1016224600041</v>
      </c>
      <c r="H15" s="9" t="s">
        <v>66</v>
      </c>
      <c r="I15" s="8">
        <v>0</v>
      </c>
      <c r="J15" s="69"/>
      <c r="K15" t="s">
        <v>1626</v>
      </c>
    </row>
    <row r="16" spans="1:13" x14ac:dyDescent="0.25">
      <c r="A16" s="5" t="s">
        <v>22</v>
      </c>
      <c r="B16" t="s">
        <v>39</v>
      </c>
      <c r="C16" s="9">
        <v>332.26666666666665</v>
      </c>
      <c r="D16" t="s">
        <v>83</v>
      </c>
      <c r="E16">
        <v>0</v>
      </c>
      <c r="F16" t="s">
        <v>84</v>
      </c>
      <c r="G16">
        <v>1016224602815</v>
      </c>
      <c r="H16" s="9" t="s">
        <v>66</v>
      </c>
      <c r="I16" s="8">
        <v>0</v>
      </c>
      <c r="J16" s="69"/>
      <c r="K16" t="s">
        <v>1626</v>
      </c>
    </row>
    <row r="17" spans="1:11" x14ac:dyDescent="0.25">
      <c r="A17" s="5" t="s">
        <v>22</v>
      </c>
      <c r="B17" t="s">
        <v>39</v>
      </c>
      <c r="C17" s="9">
        <v>332.26666666666665</v>
      </c>
      <c r="D17" t="s">
        <v>77</v>
      </c>
      <c r="E17">
        <v>0</v>
      </c>
      <c r="F17" t="s">
        <v>78</v>
      </c>
      <c r="G17">
        <v>1016224603669</v>
      </c>
      <c r="H17" s="9" t="s">
        <v>66</v>
      </c>
      <c r="I17" s="8">
        <v>0</v>
      </c>
      <c r="J17" s="69"/>
      <c r="K17" t="s">
        <v>1626</v>
      </c>
    </row>
    <row r="18" spans="1:11" x14ac:dyDescent="0.25">
      <c r="A18" s="5" t="s">
        <v>22</v>
      </c>
      <c r="B18" t="s">
        <v>39</v>
      </c>
      <c r="C18" s="9">
        <v>332.26666666666665</v>
      </c>
      <c r="D18" t="s">
        <v>79</v>
      </c>
      <c r="E18">
        <v>0</v>
      </c>
      <c r="F18" t="s">
        <v>80</v>
      </c>
      <c r="G18">
        <v>1016224603367</v>
      </c>
      <c r="H18" s="9" t="s">
        <v>66</v>
      </c>
      <c r="I18" s="8">
        <v>0</v>
      </c>
      <c r="J18" s="69"/>
      <c r="K18" t="s">
        <v>1626</v>
      </c>
    </row>
    <row r="19" spans="1:11" x14ac:dyDescent="0.25">
      <c r="A19" s="5" t="s">
        <v>22</v>
      </c>
      <c r="B19" t="s">
        <v>39</v>
      </c>
      <c r="C19" s="9">
        <v>332.26666666666665</v>
      </c>
      <c r="D19" t="s">
        <v>81</v>
      </c>
      <c r="E19">
        <v>0</v>
      </c>
      <c r="F19" t="s">
        <v>82</v>
      </c>
      <c r="G19" t="s">
        <v>1631</v>
      </c>
      <c r="H19" t="s">
        <v>66</v>
      </c>
      <c r="I19" s="8">
        <v>0</v>
      </c>
      <c r="J19" s="69"/>
      <c r="K19" t="s">
        <v>1626</v>
      </c>
    </row>
    <row r="20" spans="1:11" x14ac:dyDescent="0.25">
      <c r="A20" s="5" t="s">
        <v>22</v>
      </c>
      <c r="B20" t="s">
        <v>39</v>
      </c>
      <c r="C20" s="9">
        <v>332.26666666666665</v>
      </c>
      <c r="D20" t="s">
        <v>85</v>
      </c>
      <c r="E20">
        <v>0</v>
      </c>
      <c r="F20" t="s">
        <v>86</v>
      </c>
      <c r="G20">
        <v>916224603898</v>
      </c>
      <c r="H20" t="s">
        <v>66</v>
      </c>
      <c r="I20" s="8">
        <v>0</v>
      </c>
      <c r="J20" s="69"/>
      <c r="K20" t="s">
        <v>1626</v>
      </c>
    </row>
    <row r="21" spans="1:11" x14ac:dyDescent="0.25">
      <c r="A21" s="5" t="s">
        <v>22</v>
      </c>
      <c r="B21" t="s">
        <v>39</v>
      </c>
      <c r="C21" s="9">
        <v>332.26666666666665</v>
      </c>
      <c r="D21" t="s">
        <v>64</v>
      </c>
      <c r="E21">
        <v>0</v>
      </c>
      <c r="F21" t="s">
        <v>65</v>
      </c>
      <c r="G21" t="s">
        <v>1630</v>
      </c>
      <c r="H21" t="s">
        <v>66</v>
      </c>
      <c r="I21" s="8">
        <v>0</v>
      </c>
      <c r="J21" s="69"/>
      <c r="K21" t="s">
        <v>1626</v>
      </c>
    </row>
    <row r="22" spans="1:11" x14ac:dyDescent="0.25">
      <c r="A22" s="5" t="s">
        <v>22</v>
      </c>
      <c r="B22" t="s">
        <v>39</v>
      </c>
      <c r="C22" s="9">
        <v>17.800694444444446</v>
      </c>
      <c r="D22" t="s">
        <v>114</v>
      </c>
      <c r="E22">
        <v>0</v>
      </c>
      <c r="F22" t="s">
        <v>115</v>
      </c>
      <c r="G22" t="s">
        <v>1630</v>
      </c>
      <c r="H22" s="9">
        <v>41.666666666666664</v>
      </c>
      <c r="I22" s="8">
        <v>0</v>
      </c>
      <c r="J22" s="69"/>
      <c r="K22" t="s">
        <v>1626</v>
      </c>
    </row>
    <row r="23" spans="1:11" x14ac:dyDescent="0.25">
      <c r="A23" s="5" t="s">
        <v>22</v>
      </c>
      <c r="B23" t="s">
        <v>39</v>
      </c>
      <c r="C23" s="9">
        <v>332.26666666666665</v>
      </c>
      <c r="D23" t="s">
        <v>67</v>
      </c>
      <c r="E23">
        <v>0</v>
      </c>
      <c r="F23" t="s">
        <v>68</v>
      </c>
      <c r="G23" t="s">
        <v>1632</v>
      </c>
      <c r="H23" t="s">
        <v>66</v>
      </c>
      <c r="I23" s="8">
        <v>0</v>
      </c>
      <c r="J23" s="69"/>
      <c r="K23" t="s">
        <v>1626</v>
      </c>
    </row>
    <row r="24" spans="1:11" x14ac:dyDescent="0.25">
      <c r="A24" s="5" t="s">
        <v>22</v>
      </c>
      <c r="B24" t="s">
        <v>39</v>
      </c>
      <c r="C24" s="9">
        <v>332.26666666666665</v>
      </c>
      <c r="D24" t="s">
        <v>69</v>
      </c>
      <c r="E24">
        <v>0</v>
      </c>
      <c r="F24" t="s">
        <v>70</v>
      </c>
      <c r="G24" t="s">
        <v>1633</v>
      </c>
      <c r="H24" t="s">
        <v>66</v>
      </c>
      <c r="I24" s="8">
        <v>0</v>
      </c>
      <c r="J24" s="69"/>
      <c r="K24" t="s">
        <v>1626</v>
      </c>
    </row>
    <row r="25" spans="1:11" x14ac:dyDescent="0.25">
      <c r="A25" s="5" t="s">
        <v>22</v>
      </c>
      <c r="B25" t="s">
        <v>39</v>
      </c>
      <c r="C25" s="9">
        <v>332.26666666666665</v>
      </c>
      <c r="D25" t="s">
        <v>89</v>
      </c>
      <c r="E25">
        <v>0</v>
      </c>
      <c r="F25" t="s">
        <v>90</v>
      </c>
      <c r="G25">
        <v>1016240000069</v>
      </c>
      <c r="H25" t="s">
        <v>66</v>
      </c>
      <c r="I25" s="8">
        <v>0</v>
      </c>
      <c r="J25" s="69"/>
      <c r="K25" t="s">
        <v>1626</v>
      </c>
    </row>
    <row r="26" spans="1:11" x14ac:dyDescent="0.25">
      <c r="A26" s="5" t="s">
        <v>22</v>
      </c>
      <c r="B26" t="s">
        <v>39</v>
      </c>
      <c r="C26" s="9">
        <v>332.26666666666665</v>
      </c>
      <c r="D26" t="s">
        <v>91</v>
      </c>
      <c r="E26">
        <v>0</v>
      </c>
      <c r="F26" t="s">
        <v>92</v>
      </c>
      <c r="G26">
        <v>100137419474</v>
      </c>
      <c r="H26" t="s">
        <v>66</v>
      </c>
      <c r="I26" s="8">
        <v>0</v>
      </c>
      <c r="J26" s="69"/>
      <c r="K26" t="s">
        <v>1626</v>
      </c>
    </row>
    <row r="27" spans="1:11" x14ac:dyDescent="0.25">
      <c r="A27" s="5" t="s">
        <v>22</v>
      </c>
      <c r="B27" t="s">
        <v>39</v>
      </c>
      <c r="C27" s="9" t="s">
        <v>1815</v>
      </c>
      <c r="D27" t="s">
        <v>97</v>
      </c>
      <c r="E27">
        <v>0</v>
      </c>
      <c r="F27" t="s">
        <v>98</v>
      </c>
      <c r="G27" t="s">
        <v>1636</v>
      </c>
      <c r="H27" t="s">
        <v>38</v>
      </c>
      <c r="I27" s="8">
        <v>0</v>
      </c>
      <c r="J27" s="69"/>
      <c r="K27" t="s">
        <v>1626</v>
      </c>
    </row>
    <row r="28" spans="1:11" x14ac:dyDescent="0.25">
      <c r="A28" s="5" t="s">
        <v>22</v>
      </c>
      <c r="B28" t="s">
        <v>39</v>
      </c>
      <c r="C28" s="9" t="s">
        <v>1815</v>
      </c>
      <c r="D28" t="s">
        <v>99</v>
      </c>
      <c r="E28">
        <v>0</v>
      </c>
      <c r="F28" t="s">
        <v>100</v>
      </c>
      <c r="G28" t="s">
        <v>1637</v>
      </c>
      <c r="H28" t="s">
        <v>38</v>
      </c>
      <c r="I28" s="8">
        <v>0</v>
      </c>
      <c r="J28" s="69"/>
      <c r="K28" t="s">
        <v>1626</v>
      </c>
    </row>
    <row r="29" spans="1:11" x14ac:dyDescent="0.25">
      <c r="A29" s="5" t="s">
        <v>22</v>
      </c>
      <c r="B29" t="s">
        <v>39</v>
      </c>
      <c r="C29" s="9" t="s">
        <v>1815</v>
      </c>
      <c r="D29" t="s">
        <v>101</v>
      </c>
      <c r="E29">
        <v>0</v>
      </c>
      <c r="F29" t="s">
        <v>102</v>
      </c>
      <c r="G29">
        <v>1158</v>
      </c>
      <c r="H29" t="s">
        <v>38</v>
      </c>
      <c r="I29" s="8">
        <v>0</v>
      </c>
      <c r="J29" s="69"/>
      <c r="K29" t="s">
        <v>1626</v>
      </c>
    </row>
    <row r="30" spans="1:11" x14ac:dyDescent="0.25">
      <c r="A30" s="5" t="s">
        <v>22</v>
      </c>
      <c r="B30" t="s">
        <v>39</v>
      </c>
      <c r="C30" s="9" t="s">
        <v>1815</v>
      </c>
      <c r="D30" t="s">
        <v>103</v>
      </c>
      <c r="E30">
        <v>0</v>
      </c>
      <c r="F30" t="s">
        <v>104</v>
      </c>
      <c r="G30" t="s">
        <v>1638</v>
      </c>
      <c r="H30" t="s">
        <v>38</v>
      </c>
      <c r="I30" s="8">
        <v>0</v>
      </c>
      <c r="J30" s="69"/>
      <c r="K30" t="s">
        <v>1626</v>
      </c>
    </row>
    <row r="31" spans="1:11" x14ac:dyDescent="0.25">
      <c r="A31" s="5" t="s">
        <v>22</v>
      </c>
      <c r="B31" t="s">
        <v>39</v>
      </c>
      <c r="C31" s="9" t="s">
        <v>1815</v>
      </c>
      <c r="D31" t="s">
        <v>105</v>
      </c>
      <c r="E31">
        <v>0</v>
      </c>
      <c r="F31" t="s">
        <v>106</v>
      </c>
      <c r="G31" t="s">
        <v>1639</v>
      </c>
      <c r="H31" t="s">
        <v>38</v>
      </c>
      <c r="I31" s="8">
        <v>0</v>
      </c>
      <c r="J31" s="69"/>
      <c r="K31" t="s">
        <v>1626</v>
      </c>
    </row>
    <row r="32" spans="1:11" x14ac:dyDescent="0.25">
      <c r="A32" s="5" t="s">
        <v>22</v>
      </c>
      <c r="B32" t="s">
        <v>39</v>
      </c>
      <c r="C32" s="9">
        <v>332.26666666666665</v>
      </c>
      <c r="D32" t="s">
        <v>75</v>
      </c>
      <c r="E32">
        <v>0</v>
      </c>
      <c r="F32" t="s">
        <v>76</v>
      </c>
      <c r="G32" t="s">
        <v>1634</v>
      </c>
      <c r="H32" t="s">
        <v>66</v>
      </c>
      <c r="I32" s="8">
        <v>0</v>
      </c>
      <c r="J32" s="69"/>
      <c r="K32" t="s">
        <v>1626</v>
      </c>
    </row>
    <row r="33" spans="1:11" x14ac:dyDescent="0.25">
      <c r="A33" s="5" t="s">
        <v>22</v>
      </c>
      <c r="B33" t="s">
        <v>39</v>
      </c>
      <c r="C33" s="9">
        <v>332.26666666666665</v>
      </c>
      <c r="D33" t="s">
        <v>87</v>
      </c>
      <c r="E33">
        <v>0</v>
      </c>
      <c r="F33" t="s">
        <v>88</v>
      </c>
      <c r="G33" t="s">
        <v>1635</v>
      </c>
      <c r="H33" t="s">
        <v>66</v>
      </c>
      <c r="I33" s="8">
        <v>0</v>
      </c>
      <c r="J33" s="69"/>
      <c r="K33" t="s">
        <v>1626</v>
      </c>
    </row>
    <row r="34" spans="1:11" x14ac:dyDescent="0.25">
      <c r="A34" s="5" t="s">
        <v>22</v>
      </c>
      <c r="B34" t="s">
        <v>39</v>
      </c>
      <c r="C34" t="s">
        <v>1816</v>
      </c>
      <c r="D34" t="s">
        <v>95</v>
      </c>
      <c r="E34">
        <v>0</v>
      </c>
      <c r="F34" t="s">
        <v>96</v>
      </c>
      <c r="G34" t="s">
        <v>1626</v>
      </c>
      <c r="H34" t="s">
        <v>38</v>
      </c>
      <c r="I34" s="8">
        <v>0</v>
      </c>
      <c r="J34" s="69"/>
      <c r="K34" t="s">
        <v>1626</v>
      </c>
    </row>
    <row r="35" spans="1:11" x14ac:dyDescent="0.25">
      <c r="A35" s="5" t="s">
        <v>22</v>
      </c>
      <c r="B35" t="s">
        <v>39</v>
      </c>
      <c r="C35" s="9">
        <v>332.26666666666665</v>
      </c>
      <c r="D35" t="s">
        <v>93</v>
      </c>
      <c r="E35">
        <v>0</v>
      </c>
      <c r="F35" t="s">
        <v>94</v>
      </c>
      <c r="G35">
        <v>56240051</v>
      </c>
      <c r="H35" t="s">
        <v>66</v>
      </c>
      <c r="I35" s="8">
        <v>0</v>
      </c>
      <c r="J35" s="69"/>
      <c r="K35" t="s">
        <v>1626</v>
      </c>
    </row>
    <row r="36" spans="1:11" x14ac:dyDescent="0.25">
      <c r="A36" s="5" t="s">
        <v>22</v>
      </c>
      <c r="B36" t="s">
        <v>39</v>
      </c>
      <c r="C36" s="9">
        <v>15.572916666666666</v>
      </c>
      <c r="D36" t="s">
        <v>60</v>
      </c>
      <c r="E36">
        <v>0</v>
      </c>
      <c r="F36" t="s">
        <v>61</v>
      </c>
      <c r="G36">
        <v>56240051</v>
      </c>
      <c r="H36" s="9">
        <v>33.333333333333336</v>
      </c>
      <c r="I36" s="8">
        <v>0</v>
      </c>
      <c r="J36" s="69"/>
      <c r="K36" t="s">
        <v>1626</v>
      </c>
    </row>
    <row r="37" spans="1:11" x14ac:dyDescent="0.25">
      <c r="A37" s="5" t="s">
        <v>22</v>
      </c>
      <c r="B37" t="s">
        <v>39</v>
      </c>
      <c r="C37" s="9">
        <v>12.816666666666666</v>
      </c>
      <c r="D37" t="s">
        <v>48</v>
      </c>
      <c r="E37">
        <v>0</v>
      </c>
      <c r="F37" t="s">
        <v>49</v>
      </c>
      <c r="G37">
        <v>56240051</v>
      </c>
      <c r="H37" s="9">
        <v>16.666666666666668</v>
      </c>
      <c r="I37" s="8">
        <v>0</v>
      </c>
      <c r="J37" s="69"/>
      <c r="K37" t="s">
        <v>1626</v>
      </c>
    </row>
    <row r="38" spans="1:11" x14ac:dyDescent="0.25">
      <c r="A38" s="5" t="s">
        <v>22</v>
      </c>
      <c r="B38" t="s">
        <v>39</v>
      </c>
      <c r="C38" t="s">
        <v>1817</v>
      </c>
      <c r="D38" t="s">
        <v>109</v>
      </c>
      <c r="E38">
        <v>0</v>
      </c>
      <c r="F38" t="s">
        <v>110</v>
      </c>
      <c r="G38" t="s">
        <v>1818</v>
      </c>
      <c r="H38" t="s">
        <v>38</v>
      </c>
      <c r="I38" s="8">
        <v>0</v>
      </c>
      <c r="J38" s="69"/>
      <c r="K38" t="s">
        <v>1626</v>
      </c>
    </row>
    <row r="39" spans="1:11" x14ac:dyDescent="0.25">
      <c r="A39" s="5" t="s">
        <v>22</v>
      </c>
      <c r="B39" t="s">
        <v>39</v>
      </c>
      <c r="C39" t="s">
        <v>1819</v>
      </c>
      <c r="D39" t="s">
        <v>111</v>
      </c>
      <c r="E39">
        <v>0</v>
      </c>
      <c r="F39" t="s">
        <v>112</v>
      </c>
      <c r="G39" t="s">
        <v>1818</v>
      </c>
      <c r="H39" t="s">
        <v>38</v>
      </c>
      <c r="I39" s="8">
        <v>0</v>
      </c>
      <c r="J39" s="69"/>
      <c r="K39" t="s">
        <v>1626</v>
      </c>
    </row>
    <row r="40" spans="1:11" x14ac:dyDescent="0.25">
      <c r="A40" s="5" t="s">
        <v>22</v>
      </c>
      <c r="B40" t="s">
        <v>39</v>
      </c>
      <c r="C40" s="9">
        <v>10.445833333333333</v>
      </c>
      <c r="D40" t="s">
        <v>50</v>
      </c>
      <c r="E40">
        <v>0</v>
      </c>
      <c r="F40" t="s">
        <v>51</v>
      </c>
      <c r="G40" t="s">
        <v>1818</v>
      </c>
      <c r="H40" s="9">
        <v>12.5</v>
      </c>
      <c r="I40" s="8">
        <v>0</v>
      </c>
      <c r="J40" s="69"/>
      <c r="K40" t="s">
        <v>1626</v>
      </c>
    </row>
    <row r="41" spans="1:11" x14ac:dyDescent="0.25">
      <c r="A41" s="5" t="s">
        <v>22</v>
      </c>
      <c r="B41" t="s">
        <v>39</v>
      </c>
      <c r="C41" t="s">
        <v>1820</v>
      </c>
      <c r="D41" t="s">
        <v>107</v>
      </c>
      <c r="E41">
        <v>0</v>
      </c>
      <c r="F41" t="s">
        <v>108</v>
      </c>
      <c r="G41" t="s">
        <v>1640</v>
      </c>
      <c r="H41" t="s">
        <v>38</v>
      </c>
      <c r="I41" s="8">
        <v>0</v>
      </c>
      <c r="J41" s="69"/>
      <c r="K41" t="s">
        <v>1626</v>
      </c>
    </row>
    <row r="42" spans="1:11" x14ac:dyDescent="0.25">
      <c r="A42" s="5" t="s">
        <v>22</v>
      </c>
      <c r="B42" t="s">
        <v>113</v>
      </c>
      <c r="C42" s="9" t="s">
        <v>1821</v>
      </c>
      <c r="D42" t="s">
        <v>116</v>
      </c>
      <c r="E42">
        <v>0</v>
      </c>
      <c r="F42" t="s">
        <v>117</v>
      </c>
      <c r="G42" t="s">
        <v>1626</v>
      </c>
      <c r="H42" s="9" t="s">
        <v>38</v>
      </c>
      <c r="I42" s="8">
        <v>0</v>
      </c>
      <c r="J42" s="69"/>
      <c r="K42" t="s">
        <v>1626</v>
      </c>
    </row>
    <row r="43" spans="1:11" x14ac:dyDescent="0.25">
      <c r="A43" s="5" t="s">
        <v>22</v>
      </c>
      <c r="B43" t="s">
        <v>113</v>
      </c>
      <c r="C43" s="9" t="s">
        <v>1822</v>
      </c>
      <c r="D43" t="s">
        <v>101</v>
      </c>
      <c r="E43">
        <v>0</v>
      </c>
      <c r="F43" t="s">
        <v>102</v>
      </c>
      <c r="G43">
        <v>1209</v>
      </c>
      <c r="H43" s="9" t="s">
        <v>38</v>
      </c>
      <c r="I43" s="8">
        <v>0</v>
      </c>
      <c r="J43" s="69"/>
      <c r="K43" t="s">
        <v>1626</v>
      </c>
    </row>
    <row r="44" spans="1:11" x14ac:dyDescent="0.25">
      <c r="A44" s="5" t="s">
        <v>22</v>
      </c>
      <c r="B44" t="s">
        <v>113</v>
      </c>
      <c r="C44" s="9" t="s">
        <v>1823</v>
      </c>
      <c r="D44" t="s">
        <v>107</v>
      </c>
      <c r="E44">
        <v>0</v>
      </c>
      <c r="F44" t="s">
        <v>108</v>
      </c>
      <c r="G44" t="s">
        <v>1653</v>
      </c>
      <c r="H44" s="9" t="s">
        <v>38</v>
      </c>
      <c r="I44" s="8">
        <v>0</v>
      </c>
      <c r="J44" s="69"/>
      <c r="K44" t="s">
        <v>1626</v>
      </c>
    </row>
    <row r="45" spans="1:11" x14ac:dyDescent="0.25">
      <c r="A45" s="5" t="s">
        <v>22</v>
      </c>
      <c r="B45" t="s">
        <v>113</v>
      </c>
      <c r="C45" s="9" t="s">
        <v>1824</v>
      </c>
      <c r="D45" t="s">
        <v>109</v>
      </c>
      <c r="E45">
        <v>0</v>
      </c>
      <c r="F45" t="s">
        <v>110</v>
      </c>
      <c r="G45" t="s">
        <v>1641</v>
      </c>
      <c r="H45" s="9" t="s">
        <v>38</v>
      </c>
      <c r="I45" s="8">
        <v>0</v>
      </c>
      <c r="J45" s="69"/>
      <c r="K45" t="s">
        <v>1626</v>
      </c>
    </row>
    <row r="46" spans="1:11" x14ac:dyDescent="0.25">
      <c r="A46" s="5" t="s">
        <v>22</v>
      </c>
      <c r="B46" t="s">
        <v>113</v>
      </c>
      <c r="C46" s="9" t="s">
        <v>1825</v>
      </c>
      <c r="D46" t="s">
        <v>111</v>
      </c>
      <c r="E46">
        <v>0</v>
      </c>
      <c r="F46" t="s">
        <v>112</v>
      </c>
      <c r="G46" t="s">
        <v>1641</v>
      </c>
      <c r="H46" s="9" t="s">
        <v>38</v>
      </c>
      <c r="I46" s="8">
        <v>0</v>
      </c>
      <c r="J46" s="69"/>
      <c r="K46" t="s">
        <v>1626</v>
      </c>
    </row>
    <row r="47" spans="1:11" x14ac:dyDescent="0.25">
      <c r="A47" s="5" t="s">
        <v>22</v>
      </c>
      <c r="B47" t="s">
        <v>113</v>
      </c>
      <c r="C47" s="9">
        <v>4.5902777777777777</v>
      </c>
      <c r="D47" t="s">
        <v>50</v>
      </c>
      <c r="E47">
        <v>0</v>
      </c>
      <c r="F47" t="s">
        <v>51</v>
      </c>
      <c r="G47" t="s">
        <v>1641</v>
      </c>
      <c r="H47" s="9">
        <v>12.5</v>
      </c>
      <c r="I47" s="8">
        <v>0</v>
      </c>
      <c r="J47" s="69"/>
      <c r="K47" t="s">
        <v>1626</v>
      </c>
    </row>
    <row r="48" spans="1:11" x14ac:dyDescent="0.25">
      <c r="A48" s="5" t="s">
        <v>22</v>
      </c>
      <c r="B48" t="s">
        <v>113</v>
      </c>
      <c r="C48" s="9">
        <v>310.37777777777779</v>
      </c>
      <c r="D48" t="s">
        <v>64</v>
      </c>
      <c r="E48">
        <v>0</v>
      </c>
      <c r="F48" t="s">
        <v>65</v>
      </c>
      <c r="G48" t="s">
        <v>1643</v>
      </c>
      <c r="H48" s="9" t="s">
        <v>66</v>
      </c>
      <c r="I48" s="8">
        <v>0</v>
      </c>
      <c r="J48" s="69"/>
      <c r="K48" t="s">
        <v>1626</v>
      </c>
    </row>
    <row r="49" spans="1:11" x14ac:dyDescent="0.25">
      <c r="A49" s="5" t="s">
        <v>22</v>
      </c>
      <c r="B49" t="s">
        <v>113</v>
      </c>
      <c r="C49" s="9">
        <v>22.311805555555555</v>
      </c>
      <c r="D49" t="s">
        <v>58</v>
      </c>
      <c r="E49">
        <v>0</v>
      </c>
      <c r="F49" t="s">
        <v>59</v>
      </c>
      <c r="G49" t="s">
        <v>1643</v>
      </c>
      <c r="H49" s="9">
        <v>41.666666666666664</v>
      </c>
      <c r="I49" s="8">
        <v>0</v>
      </c>
      <c r="J49" s="69"/>
      <c r="K49" t="s">
        <v>1626</v>
      </c>
    </row>
    <row r="50" spans="1:11" x14ac:dyDescent="0.25">
      <c r="A50" s="5" t="s">
        <v>22</v>
      </c>
      <c r="B50" t="s">
        <v>113</v>
      </c>
      <c r="C50" s="9">
        <v>310.37777777777779</v>
      </c>
      <c r="D50" t="s">
        <v>67</v>
      </c>
      <c r="E50">
        <v>0</v>
      </c>
      <c r="F50" t="s">
        <v>68</v>
      </c>
      <c r="G50" t="s">
        <v>1644</v>
      </c>
      <c r="H50" s="9" t="s">
        <v>66</v>
      </c>
      <c r="I50" s="8">
        <v>0</v>
      </c>
      <c r="J50" s="69"/>
      <c r="K50" t="s">
        <v>1626</v>
      </c>
    </row>
    <row r="51" spans="1:11" x14ac:dyDescent="0.25">
      <c r="A51" s="5" t="s">
        <v>22</v>
      </c>
      <c r="B51" t="s">
        <v>113</v>
      </c>
      <c r="C51" s="9">
        <v>310.37777777777779</v>
      </c>
      <c r="D51" t="s">
        <v>69</v>
      </c>
      <c r="E51">
        <v>0</v>
      </c>
      <c r="F51" t="s">
        <v>70</v>
      </c>
      <c r="G51" t="s">
        <v>1645</v>
      </c>
      <c r="H51" s="9" t="s">
        <v>66</v>
      </c>
      <c r="I51" s="8">
        <v>0</v>
      </c>
      <c r="J51" s="69"/>
      <c r="K51" t="s">
        <v>1626</v>
      </c>
    </row>
    <row r="52" spans="1:11" x14ac:dyDescent="0.25">
      <c r="A52" s="5" t="s">
        <v>22</v>
      </c>
      <c r="B52" t="s">
        <v>113</v>
      </c>
      <c r="C52" s="9">
        <v>17.28263888888889</v>
      </c>
      <c r="D52" t="s">
        <v>62</v>
      </c>
      <c r="E52">
        <v>0</v>
      </c>
      <c r="F52" t="s">
        <v>63</v>
      </c>
      <c r="G52" t="s">
        <v>1642</v>
      </c>
      <c r="H52" s="9">
        <v>62.5</v>
      </c>
      <c r="I52" s="8">
        <v>0</v>
      </c>
      <c r="J52" s="69"/>
      <c r="K52" t="s">
        <v>1626</v>
      </c>
    </row>
    <row r="53" spans="1:11" x14ac:dyDescent="0.25">
      <c r="A53" s="5" t="s">
        <v>22</v>
      </c>
      <c r="B53" t="s">
        <v>113</v>
      </c>
      <c r="C53" s="9">
        <v>13.420833333333333</v>
      </c>
      <c r="D53" t="s">
        <v>52</v>
      </c>
      <c r="E53">
        <v>0</v>
      </c>
      <c r="F53" t="s">
        <v>53</v>
      </c>
      <c r="G53" t="s">
        <v>1642</v>
      </c>
      <c r="H53" s="9">
        <v>16.666666666666668</v>
      </c>
      <c r="I53" s="8">
        <v>0</v>
      </c>
      <c r="J53" s="69"/>
      <c r="K53" t="s">
        <v>1626</v>
      </c>
    </row>
    <row r="54" spans="1:11" x14ac:dyDescent="0.25">
      <c r="A54" s="5" t="s">
        <v>22</v>
      </c>
      <c r="B54" t="s">
        <v>113</v>
      </c>
      <c r="C54" s="9">
        <v>27.914583333333333</v>
      </c>
      <c r="D54" t="s">
        <v>40</v>
      </c>
      <c r="E54">
        <v>0</v>
      </c>
      <c r="F54" t="s">
        <v>41</v>
      </c>
      <c r="G54" t="s">
        <v>1642</v>
      </c>
      <c r="H54" s="9">
        <v>41.666666666666664</v>
      </c>
      <c r="I54" s="8">
        <v>0</v>
      </c>
      <c r="J54" s="69"/>
      <c r="K54" t="s">
        <v>1626</v>
      </c>
    </row>
    <row r="55" spans="1:11" x14ac:dyDescent="0.25">
      <c r="A55" s="5" t="s">
        <v>22</v>
      </c>
      <c r="B55" t="s">
        <v>113</v>
      </c>
      <c r="C55" s="9">
        <v>27.914583333333333</v>
      </c>
      <c r="D55" t="s">
        <v>42</v>
      </c>
      <c r="E55">
        <v>0</v>
      </c>
      <c r="F55" t="s">
        <v>43</v>
      </c>
      <c r="G55" t="s">
        <v>1642</v>
      </c>
      <c r="H55" s="9">
        <v>41.666666666666664</v>
      </c>
      <c r="I55" s="8">
        <v>0</v>
      </c>
      <c r="J55" s="69"/>
      <c r="K55" t="s">
        <v>1626</v>
      </c>
    </row>
    <row r="56" spans="1:11" x14ac:dyDescent="0.25">
      <c r="A56" s="5" t="s">
        <v>22</v>
      </c>
      <c r="B56" t="s">
        <v>113</v>
      </c>
      <c r="C56" s="9">
        <v>13.420833333333333</v>
      </c>
      <c r="D56" t="s">
        <v>44</v>
      </c>
      <c r="E56">
        <v>0</v>
      </c>
      <c r="F56" t="s">
        <v>45</v>
      </c>
      <c r="G56" t="s">
        <v>1642</v>
      </c>
      <c r="H56" s="9">
        <v>16.666666666666668</v>
      </c>
      <c r="I56" s="8">
        <v>0</v>
      </c>
      <c r="J56" s="69"/>
      <c r="K56" t="s">
        <v>1626</v>
      </c>
    </row>
    <row r="57" spans="1:11" x14ac:dyDescent="0.25">
      <c r="A57" s="5" t="s">
        <v>22</v>
      </c>
      <c r="B57" t="s">
        <v>113</v>
      </c>
      <c r="C57" s="9">
        <v>13.420833333333333</v>
      </c>
      <c r="D57" t="s">
        <v>46</v>
      </c>
      <c r="E57">
        <v>0</v>
      </c>
      <c r="F57" t="s">
        <v>47</v>
      </c>
      <c r="G57" t="s">
        <v>1642</v>
      </c>
      <c r="H57" s="9">
        <v>16.666666666666668</v>
      </c>
      <c r="I57" s="8">
        <v>0</v>
      </c>
      <c r="J57" s="69"/>
      <c r="K57" t="s">
        <v>1626</v>
      </c>
    </row>
    <row r="58" spans="1:11" x14ac:dyDescent="0.25">
      <c r="A58" s="5" t="s">
        <v>22</v>
      </c>
      <c r="B58" t="s">
        <v>113</v>
      </c>
      <c r="C58" s="9">
        <v>7.2354166666666666</v>
      </c>
      <c r="D58" t="s">
        <v>54</v>
      </c>
      <c r="E58">
        <v>0</v>
      </c>
      <c r="F58" t="s">
        <v>55</v>
      </c>
      <c r="G58" t="s">
        <v>1642</v>
      </c>
      <c r="H58" s="9">
        <v>16.666666666666668</v>
      </c>
      <c r="I58" s="8">
        <v>0</v>
      </c>
      <c r="J58" s="69"/>
      <c r="K58" t="s">
        <v>1626</v>
      </c>
    </row>
    <row r="59" spans="1:11" x14ac:dyDescent="0.25">
      <c r="A59" s="5" t="s">
        <v>22</v>
      </c>
      <c r="B59" t="s">
        <v>113</v>
      </c>
      <c r="C59" s="9">
        <v>7.2354166666666666</v>
      </c>
      <c r="D59" t="s">
        <v>56</v>
      </c>
      <c r="E59">
        <v>0</v>
      </c>
      <c r="F59" t="s">
        <v>57</v>
      </c>
      <c r="G59" t="s">
        <v>1642</v>
      </c>
      <c r="H59" s="9">
        <v>16.666666666666668</v>
      </c>
      <c r="I59" s="8">
        <v>0</v>
      </c>
      <c r="J59" s="69"/>
      <c r="K59" t="s">
        <v>1626</v>
      </c>
    </row>
    <row r="60" spans="1:11" x14ac:dyDescent="0.25">
      <c r="A60" s="5" t="s">
        <v>22</v>
      </c>
      <c r="B60" t="s">
        <v>113</v>
      </c>
      <c r="C60" s="9">
        <v>326.78958333333333</v>
      </c>
      <c r="D60" t="s">
        <v>71</v>
      </c>
      <c r="E60">
        <v>0</v>
      </c>
      <c r="F60" t="s">
        <v>72</v>
      </c>
      <c r="G60" t="s">
        <v>1642</v>
      </c>
      <c r="H60" t="s">
        <v>66</v>
      </c>
      <c r="I60" s="8">
        <v>0</v>
      </c>
      <c r="J60" s="69"/>
      <c r="K60" t="s">
        <v>1626</v>
      </c>
    </row>
    <row r="61" spans="1:11" x14ac:dyDescent="0.25">
      <c r="A61" s="5" t="s">
        <v>22</v>
      </c>
      <c r="B61" t="s">
        <v>113</v>
      </c>
      <c r="C61" s="9">
        <v>326.88680555555555</v>
      </c>
      <c r="D61" t="s">
        <v>73</v>
      </c>
      <c r="E61">
        <v>0</v>
      </c>
      <c r="F61" t="s">
        <v>74</v>
      </c>
      <c r="G61">
        <v>1116224600537</v>
      </c>
      <c r="H61" t="s">
        <v>66</v>
      </c>
      <c r="I61" s="8">
        <v>0</v>
      </c>
      <c r="J61" s="69"/>
      <c r="K61" t="s">
        <v>1626</v>
      </c>
    </row>
    <row r="62" spans="1:11" x14ac:dyDescent="0.25">
      <c r="A62" s="5" t="s">
        <v>22</v>
      </c>
      <c r="B62" t="s">
        <v>113</v>
      </c>
      <c r="C62" s="9">
        <v>326.88680555555555</v>
      </c>
      <c r="D62" t="s">
        <v>83</v>
      </c>
      <c r="E62">
        <v>0</v>
      </c>
      <c r="F62" t="s">
        <v>84</v>
      </c>
      <c r="G62">
        <v>1016224602811</v>
      </c>
      <c r="H62" t="s">
        <v>66</v>
      </c>
      <c r="I62" s="8">
        <v>0</v>
      </c>
      <c r="J62" s="69"/>
      <c r="K62" t="s">
        <v>1626</v>
      </c>
    </row>
    <row r="63" spans="1:11" x14ac:dyDescent="0.25">
      <c r="A63" s="5" t="s">
        <v>22</v>
      </c>
      <c r="B63" t="s">
        <v>113</v>
      </c>
      <c r="C63" s="9">
        <v>326.88680555555555</v>
      </c>
      <c r="D63" t="s">
        <v>75</v>
      </c>
      <c r="E63">
        <v>0</v>
      </c>
      <c r="F63" t="s">
        <v>76</v>
      </c>
      <c r="G63">
        <v>1016224604789</v>
      </c>
      <c r="H63" t="s">
        <v>66</v>
      </c>
      <c r="I63" s="8">
        <v>0</v>
      </c>
      <c r="J63" s="69"/>
      <c r="K63" t="s">
        <v>1626</v>
      </c>
    </row>
    <row r="64" spans="1:11" x14ac:dyDescent="0.25">
      <c r="A64" s="5" t="s">
        <v>22</v>
      </c>
      <c r="B64" t="s">
        <v>113</v>
      </c>
      <c r="C64" s="9">
        <v>326.88680555555555</v>
      </c>
      <c r="D64" t="s">
        <v>77</v>
      </c>
      <c r="E64">
        <v>0</v>
      </c>
      <c r="F64" t="s">
        <v>78</v>
      </c>
      <c r="G64">
        <v>1016224601393</v>
      </c>
      <c r="H64" t="s">
        <v>66</v>
      </c>
      <c r="I64" s="8">
        <v>0</v>
      </c>
      <c r="J64" s="69"/>
      <c r="K64" t="s">
        <v>1626</v>
      </c>
    </row>
    <row r="65" spans="1:11" x14ac:dyDescent="0.25">
      <c r="A65" s="5" t="s">
        <v>22</v>
      </c>
      <c r="B65" t="s">
        <v>113</v>
      </c>
      <c r="C65" s="9">
        <v>326.88680555555555</v>
      </c>
      <c r="D65" t="s">
        <v>79</v>
      </c>
      <c r="E65">
        <v>0</v>
      </c>
      <c r="F65" t="s">
        <v>80</v>
      </c>
      <c r="G65" t="s">
        <v>1646</v>
      </c>
      <c r="H65" t="s">
        <v>66</v>
      </c>
      <c r="I65" s="8">
        <v>0</v>
      </c>
      <c r="J65" s="69"/>
      <c r="K65" t="s">
        <v>1626</v>
      </c>
    </row>
    <row r="66" spans="1:11" x14ac:dyDescent="0.25">
      <c r="A66" s="5" t="s">
        <v>22</v>
      </c>
      <c r="B66" t="s">
        <v>113</v>
      </c>
      <c r="C66" s="9">
        <v>326.88680555555555</v>
      </c>
      <c r="D66" t="s">
        <v>81</v>
      </c>
      <c r="E66">
        <v>0</v>
      </c>
      <c r="F66" t="s">
        <v>82</v>
      </c>
      <c r="G66" t="s">
        <v>1647</v>
      </c>
      <c r="H66" t="s">
        <v>66</v>
      </c>
      <c r="I66" s="8">
        <v>0</v>
      </c>
      <c r="J66" s="69"/>
      <c r="K66" t="s">
        <v>1626</v>
      </c>
    </row>
    <row r="67" spans="1:11" x14ac:dyDescent="0.25">
      <c r="A67" s="5" t="s">
        <v>22</v>
      </c>
      <c r="B67" t="s">
        <v>113</v>
      </c>
      <c r="C67" s="9">
        <v>326.88680555555555</v>
      </c>
      <c r="D67" t="s">
        <v>85</v>
      </c>
      <c r="E67">
        <v>0</v>
      </c>
      <c r="F67" t="s">
        <v>86</v>
      </c>
      <c r="G67">
        <v>916224603865</v>
      </c>
      <c r="H67" t="s">
        <v>66</v>
      </c>
      <c r="I67" s="8">
        <v>0</v>
      </c>
      <c r="J67" s="69"/>
      <c r="K67" t="s">
        <v>1626</v>
      </c>
    </row>
    <row r="68" spans="1:11" x14ac:dyDescent="0.25">
      <c r="A68" s="5" t="s">
        <v>22</v>
      </c>
      <c r="B68" t="s">
        <v>113</v>
      </c>
      <c r="C68" s="9">
        <v>326.88680555555555</v>
      </c>
      <c r="D68" t="s">
        <v>87</v>
      </c>
      <c r="E68">
        <v>0</v>
      </c>
      <c r="F68" t="s">
        <v>88</v>
      </c>
      <c r="G68" t="s">
        <v>1648</v>
      </c>
      <c r="H68" t="s">
        <v>66</v>
      </c>
      <c r="I68" s="8">
        <v>0</v>
      </c>
      <c r="J68" s="69"/>
      <c r="K68" t="s">
        <v>1626</v>
      </c>
    </row>
    <row r="69" spans="1:11" x14ac:dyDescent="0.25">
      <c r="A69" s="5" t="s">
        <v>22</v>
      </c>
      <c r="B69" t="s">
        <v>113</v>
      </c>
      <c r="C69" s="9">
        <v>326.88680555555555</v>
      </c>
      <c r="D69" t="s">
        <v>89</v>
      </c>
      <c r="E69">
        <v>0</v>
      </c>
      <c r="F69" t="s">
        <v>90</v>
      </c>
      <c r="G69">
        <v>1116240000011</v>
      </c>
      <c r="H69" t="s">
        <v>66</v>
      </c>
      <c r="I69" s="8">
        <v>0</v>
      </c>
      <c r="J69" s="69"/>
      <c r="K69" t="s">
        <v>1626</v>
      </c>
    </row>
    <row r="70" spans="1:11" x14ac:dyDescent="0.25">
      <c r="A70" s="5" t="s">
        <v>22</v>
      </c>
      <c r="B70" t="s">
        <v>113</v>
      </c>
      <c r="C70" s="9">
        <v>326.88680555555555</v>
      </c>
      <c r="D70" t="s">
        <v>91</v>
      </c>
      <c r="E70">
        <v>0</v>
      </c>
      <c r="F70" t="s">
        <v>92</v>
      </c>
      <c r="G70">
        <v>90137418756</v>
      </c>
      <c r="H70" t="s">
        <v>66</v>
      </c>
      <c r="I70" s="8">
        <v>0</v>
      </c>
      <c r="J70" s="69"/>
      <c r="K70" t="s">
        <v>1626</v>
      </c>
    </row>
    <row r="71" spans="1:11" x14ac:dyDescent="0.25">
      <c r="A71" s="5" t="s">
        <v>22</v>
      </c>
      <c r="B71" t="s">
        <v>113</v>
      </c>
      <c r="C71" t="s">
        <v>1826</v>
      </c>
      <c r="D71" t="s">
        <v>97</v>
      </c>
      <c r="E71">
        <v>0</v>
      </c>
      <c r="F71" t="s">
        <v>98</v>
      </c>
      <c r="G71" t="s">
        <v>1649</v>
      </c>
      <c r="H71" t="s">
        <v>38</v>
      </c>
      <c r="I71" s="8">
        <v>0</v>
      </c>
      <c r="J71" s="69"/>
      <c r="K71" t="s">
        <v>1626</v>
      </c>
    </row>
    <row r="72" spans="1:11" x14ac:dyDescent="0.25">
      <c r="A72" s="5" t="s">
        <v>22</v>
      </c>
      <c r="B72" t="s">
        <v>113</v>
      </c>
      <c r="C72" t="s">
        <v>1826</v>
      </c>
      <c r="D72" t="s">
        <v>99</v>
      </c>
      <c r="E72">
        <v>0</v>
      </c>
      <c r="F72" t="s">
        <v>100</v>
      </c>
      <c r="G72" t="s">
        <v>1650</v>
      </c>
      <c r="H72" t="s">
        <v>38</v>
      </c>
      <c r="I72" s="8">
        <v>0</v>
      </c>
      <c r="J72" s="69"/>
      <c r="K72" t="s">
        <v>1626</v>
      </c>
    </row>
    <row r="73" spans="1:11" x14ac:dyDescent="0.25">
      <c r="A73" s="5" t="s">
        <v>22</v>
      </c>
      <c r="B73" t="s">
        <v>113</v>
      </c>
      <c r="C73" t="s">
        <v>1826</v>
      </c>
      <c r="D73" t="s">
        <v>103</v>
      </c>
      <c r="E73">
        <v>0</v>
      </c>
      <c r="F73" t="s">
        <v>104</v>
      </c>
      <c r="G73" t="s">
        <v>1651</v>
      </c>
      <c r="H73" t="s">
        <v>38</v>
      </c>
      <c r="I73" s="8">
        <v>0</v>
      </c>
      <c r="J73" s="69"/>
      <c r="K73" t="s">
        <v>1626</v>
      </c>
    </row>
    <row r="74" spans="1:11" x14ac:dyDescent="0.25">
      <c r="A74" s="5" t="s">
        <v>22</v>
      </c>
      <c r="B74" t="s">
        <v>113</v>
      </c>
      <c r="C74" t="s">
        <v>1826</v>
      </c>
      <c r="D74" t="s">
        <v>105</v>
      </c>
      <c r="E74">
        <v>0</v>
      </c>
      <c r="F74" t="s">
        <v>106</v>
      </c>
      <c r="G74" t="s">
        <v>1652</v>
      </c>
      <c r="H74" t="s">
        <v>38</v>
      </c>
      <c r="I74" s="8">
        <v>0</v>
      </c>
      <c r="J74" s="69"/>
      <c r="K74" t="s">
        <v>1626</v>
      </c>
    </row>
    <row r="75" spans="1:11" x14ac:dyDescent="0.25">
      <c r="A75" s="5" t="s">
        <v>22</v>
      </c>
      <c r="B75" t="s">
        <v>113</v>
      </c>
      <c r="C75" s="9">
        <v>326.88680555555555</v>
      </c>
      <c r="D75" t="s">
        <v>93</v>
      </c>
      <c r="E75">
        <v>0</v>
      </c>
      <c r="F75" t="s">
        <v>94</v>
      </c>
      <c r="G75">
        <v>56240074</v>
      </c>
      <c r="H75" t="s">
        <v>66</v>
      </c>
      <c r="I75" s="8">
        <v>0</v>
      </c>
      <c r="J75" s="69"/>
      <c r="K75" t="s">
        <v>1626</v>
      </c>
    </row>
    <row r="76" spans="1:11" x14ac:dyDescent="0.25">
      <c r="A76" s="5" t="s">
        <v>22</v>
      </c>
      <c r="B76" t="s">
        <v>113</v>
      </c>
      <c r="C76" s="9">
        <v>13.978472222222223</v>
      </c>
      <c r="D76" t="s">
        <v>60</v>
      </c>
      <c r="E76">
        <v>0</v>
      </c>
      <c r="F76" t="s">
        <v>61</v>
      </c>
      <c r="G76">
        <v>56240074</v>
      </c>
      <c r="H76" s="9">
        <v>33.333333333333336</v>
      </c>
      <c r="I76" s="8">
        <v>0</v>
      </c>
      <c r="J76" s="69"/>
      <c r="K76" t="s">
        <v>1626</v>
      </c>
    </row>
    <row r="77" spans="1:11" x14ac:dyDescent="0.25">
      <c r="A77" s="5" t="s">
        <v>22</v>
      </c>
      <c r="B77" t="s">
        <v>113</v>
      </c>
      <c r="C77" s="9">
        <v>13.420833333333333</v>
      </c>
      <c r="D77" t="s">
        <v>48</v>
      </c>
      <c r="E77">
        <v>0</v>
      </c>
      <c r="F77" t="s">
        <v>49</v>
      </c>
      <c r="G77">
        <v>56240074</v>
      </c>
      <c r="H77" s="9">
        <v>16.666666666666668</v>
      </c>
      <c r="I77" s="8">
        <v>0</v>
      </c>
      <c r="J77" s="69"/>
      <c r="K77" t="s">
        <v>1626</v>
      </c>
    </row>
    <row r="78" spans="1:11" x14ac:dyDescent="0.25">
      <c r="A78" s="5" t="s">
        <v>22</v>
      </c>
      <c r="B78" t="s">
        <v>118</v>
      </c>
      <c r="C78" s="8">
        <v>140.95902777777778</v>
      </c>
      <c r="D78" t="s">
        <v>516</v>
      </c>
      <c r="E78">
        <v>0</v>
      </c>
      <c r="F78" t="s">
        <v>517</v>
      </c>
      <c r="G78">
        <v>12090085</v>
      </c>
      <c r="H78" s="9" t="s">
        <v>66</v>
      </c>
      <c r="I78" s="8">
        <v>0</v>
      </c>
      <c r="J78" s="69"/>
      <c r="K78" t="s">
        <v>1626</v>
      </c>
    </row>
    <row r="79" spans="1:11" x14ac:dyDescent="0.25">
      <c r="A79" s="5" t="s">
        <v>22</v>
      </c>
      <c r="B79" t="s">
        <v>118</v>
      </c>
      <c r="C79" s="8">
        <v>151.63055555555556</v>
      </c>
      <c r="D79" t="s">
        <v>512</v>
      </c>
      <c r="E79">
        <v>0</v>
      </c>
      <c r="F79" t="s">
        <v>513</v>
      </c>
      <c r="G79" t="s">
        <v>1726</v>
      </c>
      <c r="H79" s="9">
        <v>104.16666666666667</v>
      </c>
      <c r="I79" s="8">
        <v>0</v>
      </c>
      <c r="J79" s="69"/>
      <c r="K79" t="s">
        <v>1626</v>
      </c>
    </row>
    <row r="80" spans="1:11" x14ac:dyDescent="0.25">
      <c r="A80" s="5" t="s">
        <v>22</v>
      </c>
      <c r="B80" t="s">
        <v>118</v>
      </c>
      <c r="C80" s="8">
        <v>151.63055555555556</v>
      </c>
      <c r="D80" t="s">
        <v>512</v>
      </c>
      <c r="E80">
        <v>0</v>
      </c>
      <c r="F80" t="s">
        <v>513</v>
      </c>
      <c r="G80" t="s">
        <v>1727</v>
      </c>
      <c r="H80" s="9">
        <v>104.16666666666667</v>
      </c>
      <c r="I80" s="8">
        <v>0</v>
      </c>
      <c r="J80" s="69"/>
      <c r="K80" t="s">
        <v>1626</v>
      </c>
    </row>
    <row r="81" spans="1:11" x14ac:dyDescent="0.25">
      <c r="A81" s="5" t="s">
        <v>22</v>
      </c>
      <c r="B81" t="s">
        <v>118</v>
      </c>
      <c r="C81" s="8" t="s">
        <v>1827</v>
      </c>
      <c r="D81" t="s">
        <v>712</v>
      </c>
      <c r="E81">
        <v>0</v>
      </c>
      <c r="F81" t="s">
        <v>713</v>
      </c>
      <c r="G81" t="s">
        <v>1765</v>
      </c>
      <c r="H81" s="9" t="s">
        <v>38</v>
      </c>
      <c r="I81" s="8">
        <v>0</v>
      </c>
      <c r="J81" s="69"/>
      <c r="K81" t="s">
        <v>1626</v>
      </c>
    </row>
    <row r="82" spans="1:11" x14ac:dyDescent="0.25">
      <c r="A82" s="5" t="s">
        <v>22</v>
      </c>
      <c r="B82" t="s">
        <v>118</v>
      </c>
      <c r="C82" s="8">
        <v>0.49652777777777779</v>
      </c>
      <c r="D82" t="s">
        <v>1674</v>
      </c>
      <c r="E82">
        <v>0</v>
      </c>
      <c r="F82" t="s">
        <v>1675</v>
      </c>
      <c r="G82" t="s">
        <v>1628</v>
      </c>
      <c r="H82" s="9">
        <v>2.9166666666666665</v>
      </c>
      <c r="I82" s="8">
        <v>0</v>
      </c>
      <c r="J82" s="69"/>
      <c r="K82" t="s">
        <v>1626</v>
      </c>
    </row>
    <row r="83" spans="1:11" x14ac:dyDescent="0.25">
      <c r="A83" s="5" t="s">
        <v>22</v>
      </c>
      <c r="B83" t="s">
        <v>118</v>
      </c>
      <c r="C83" s="8">
        <v>2.7881944444444446</v>
      </c>
      <c r="D83" t="s">
        <v>1683</v>
      </c>
      <c r="E83">
        <v>0</v>
      </c>
      <c r="F83" t="s">
        <v>1675</v>
      </c>
      <c r="G83" t="s">
        <v>1628</v>
      </c>
      <c r="H83" s="9">
        <v>5.208333333333333</v>
      </c>
      <c r="I83" s="8">
        <v>0</v>
      </c>
      <c r="J83" s="69"/>
      <c r="K83" t="s">
        <v>1626</v>
      </c>
    </row>
    <row r="84" spans="1:11" x14ac:dyDescent="0.25">
      <c r="A84" s="5" t="s">
        <v>22</v>
      </c>
      <c r="B84" t="s">
        <v>118</v>
      </c>
      <c r="C84" s="8">
        <v>0.47986111111111113</v>
      </c>
      <c r="D84" t="s">
        <v>119</v>
      </c>
      <c r="E84">
        <v>0</v>
      </c>
      <c r="F84" t="s">
        <v>120</v>
      </c>
      <c r="G84" t="s">
        <v>1628</v>
      </c>
      <c r="H84" s="9">
        <v>1.0416666666666667</v>
      </c>
      <c r="I84" s="8">
        <v>0</v>
      </c>
      <c r="J84" s="69"/>
      <c r="K84" t="s">
        <v>1626</v>
      </c>
    </row>
    <row r="85" spans="1:11" x14ac:dyDescent="0.25">
      <c r="A85" s="5" t="s">
        <v>22</v>
      </c>
      <c r="B85" t="s">
        <v>118</v>
      </c>
      <c r="C85" s="8">
        <v>0.59375</v>
      </c>
      <c r="D85" t="s">
        <v>125</v>
      </c>
      <c r="E85">
        <v>0</v>
      </c>
      <c r="F85" t="s">
        <v>126</v>
      </c>
      <c r="G85" t="s">
        <v>1628</v>
      </c>
      <c r="H85" s="9">
        <v>1.0416666666666667</v>
      </c>
      <c r="I85" s="8">
        <v>0</v>
      </c>
      <c r="J85" s="69"/>
      <c r="K85" t="s">
        <v>1626</v>
      </c>
    </row>
    <row r="86" spans="1:11" x14ac:dyDescent="0.25">
      <c r="A86" s="5" t="s">
        <v>22</v>
      </c>
      <c r="B86" t="s">
        <v>118</v>
      </c>
      <c r="C86" s="8">
        <v>2.1979166666666665</v>
      </c>
      <c r="D86" t="s">
        <v>179</v>
      </c>
      <c r="E86">
        <v>0</v>
      </c>
      <c r="F86" t="s">
        <v>180</v>
      </c>
      <c r="G86" t="s">
        <v>1628</v>
      </c>
      <c r="H86" s="9">
        <v>4.166666666666667</v>
      </c>
      <c r="I86" s="8">
        <v>0</v>
      </c>
      <c r="J86" s="69"/>
      <c r="K86" t="s">
        <v>1626</v>
      </c>
    </row>
    <row r="87" spans="1:11" x14ac:dyDescent="0.25">
      <c r="A87" s="5" t="s">
        <v>22</v>
      </c>
      <c r="B87" t="s">
        <v>118</v>
      </c>
      <c r="C87" s="8">
        <v>16.175694444444446</v>
      </c>
      <c r="D87" t="s">
        <v>1672</v>
      </c>
      <c r="E87">
        <v>0</v>
      </c>
      <c r="F87" t="s">
        <v>1673</v>
      </c>
      <c r="G87" t="s">
        <v>1628</v>
      </c>
      <c r="H87" s="9">
        <v>25</v>
      </c>
      <c r="I87" s="8">
        <v>0</v>
      </c>
      <c r="J87" s="69"/>
      <c r="K87" t="s">
        <v>1626</v>
      </c>
    </row>
    <row r="88" spans="1:11" x14ac:dyDescent="0.25">
      <c r="A88" s="5" t="s">
        <v>22</v>
      </c>
      <c r="B88" t="s">
        <v>118</v>
      </c>
      <c r="C88" s="8" t="s">
        <v>1828</v>
      </c>
      <c r="D88" t="s">
        <v>712</v>
      </c>
      <c r="E88">
        <v>0</v>
      </c>
      <c r="F88" t="s">
        <v>713</v>
      </c>
      <c r="G88" t="s">
        <v>1767</v>
      </c>
      <c r="H88" s="9" t="s">
        <v>38</v>
      </c>
      <c r="I88" s="8">
        <v>0</v>
      </c>
      <c r="J88" s="69"/>
      <c r="K88" t="s">
        <v>1626</v>
      </c>
    </row>
    <row r="89" spans="1:11" x14ac:dyDescent="0.25">
      <c r="A89" s="5" t="s">
        <v>1463</v>
      </c>
      <c r="B89" t="s">
        <v>118</v>
      </c>
      <c r="C89" s="8">
        <v>18.739583333333332</v>
      </c>
      <c r="D89" t="s">
        <v>1665</v>
      </c>
      <c r="E89">
        <v>0</v>
      </c>
      <c r="F89" t="s">
        <v>1698</v>
      </c>
      <c r="G89" t="s">
        <v>1626</v>
      </c>
      <c r="H89" s="9">
        <v>23.666666666666668</v>
      </c>
      <c r="I89" s="8">
        <v>0</v>
      </c>
      <c r="J89" s="69"/>
      <c r="K89" t="s">
        <v>1626</v>
      </c>
    </row>
    <row r="90" spans="1:11" x14ac:dyDescent="0.25">
      <c r="A90" s="5" t="s">
        <v>1463</v>
      </c>
      <c r="B90" t="s">
        <v>118</v>
      </c>
      <c r="C90" s="8">
        <v>0.91874999999999996</v>
      </c>
      <c r="D90" t="s">
        <v>1665</v>
      </c>
      <c r="E90">
        <v>1</v>
      </c>
      <c r="F90" t="s">
        <v>1666</v>
      </c>
      <c r="G90" t="s">
        <v>1626</v>
      </c>
      <c r="H90" s="9">
        <v>1.6756944444444444</v>
      </c>
      <c r="I90" s="8">
        <v>2.7083333333333335</v>
      </c>
      <c r="J90" s="69"/>
      <c r="K90" t="s">
        <v>1626</v>
      </c>
    </row>
    <row r="91" spans="1:11" x14ac:dyDescent="0.25">
      <c r="A91" s="5" t="s">
        <v>1463</v>
      </c>
      <c r="B91" t="s">
        <v>118</v>
      </c>
      <c r="C91" s="8">
        <v>4.0472222222222225</v>
      </c>
      <c r="D91" t="s">
        <v>1665</v>
      </c>
      <c r="E91">
        <v>3</v>
      </c>
      <c r="F91" t="s">
        <v>1684</v>
      </c>
      <c r="G91" t="s">
        <v>1626</v>
      </c>
      <c r="H91" s="9">
        <v>6.0958333333333332</v>
      </c>
      <c r="I91" s="8">
        <v>0</v>
      </c>
      <c r="J91" s="69"/>
      <c r="K91" t="s">
        <v>1626</v>
      </c>
    </row>
    <row r="92" spans="1:11" x14ac:dyDescent="0.25">
      <c r="A92" s="5" t="s">
        <v>22</v>
      </c>
      <c r="B92" t="s">
        <v>118</v>
      </c>
      <c r="C92" s="8">
        <v>137.82708333333332</v>
      </c>
      <c r="D92" t="s">
        <v>514</v>
      </c>
      <c r="E92">
        <v>0</v>
      </c>
      <c r="F92" t="s">
        <v>515</v>
      </c>
      <c r="G92" t="s">
        <v>1626</v>
      </c>
      <c r="H92" s="9" t="s">
        <v>66</v>
      </c>
      <c r="I92" s="8">
        <v>0</v>
      </c>
      <c r="J92" s="69"/>
      <c r="K92" t="s">
        <v>1626</v>
      </c>
    </row>
    <row r="93" spans="1:11" x14ac:dyDescent="0.25">
      <c r="A93" s="5" t="s">
        <v>22</v>
      </c>
      <c r="B93" t="s">
        <v>118</v>
      </c>
      <c r="C93" s="8" t="s">
        <v>1829</v>
      </c>
      <c r="D93" t="s">
        <v>725</v>
      </c>
      <c r="E93">
        <v>0</v>
      </c>
      <c r="F93" t="s">
        <v>726</v>
      </c>
      <c r="G93" t="s">
        <v>1626</v>
      </c>
      <c r="H93" s="9" t="s">
        <v>38</v>
      </c>
      <c r="I93" s="8">
        <v>0</v>
      </c>
      <c r="J93" s="69"/>
      <c r="K93" t="s">
        <v>1626</v>
      </c>
    </row>
    <row r="94" spans="1:11" x14ac:dyDescent="0.25">
      <c r="A94" s="5" t="s">
        <v>22</v>
      </c>
      <c r="B94" t="s">
        <v>118</v>
      </c>
      <c r="C94" s="8" t="s">
        <v>1830</v>
      </c>
      <c r="D94" t="s">
        <v>739</v>
      </c>
      <c r="E94">
        <v>0</v>
      </c>
      <c r="F94" t="s">
        <v>740</v>
      </c>
      <c r="G94" t="s">
        <v>1626</v>
      </c>
      <c r="H94" s="9" t="s">
        <v>38</v>
      </c>
      <c r="I94" s="8">
        <v>0</v>
      </c>
      <c r="J94" s="69"/>
      <c r="K94" t="s">
        <v>1626</v>
      </c>
    </row>
    <row r="95" spans="1:11" x14ac:dyDescent="0.25">
      <c r="A95" s="5" t="s">
        <v>22</v>
      </c>
      <c r="B95" t="s">
        <v>118</v>
      </c>
      <c r="C95" s="8" t="s">
        <v>1831</v>
      </c>
      <c r="D95" t="s">
        <v>705</v>
      </c>
      <c r="E95">
        <v>0</v>
      </c>
      <c r="F95" t="s">
        <v>706</v>
      </c>
      <c r="G95" t="s">
        <v>1626</v>
      </c>
      <c r="H95" s="9" t="s">
        <v>692</v>
      </c>
      <c r="I95" s="8">
        <v>0</v>
      </c>
      <c r="J95" s="69"/>
      <c r="K95" t="s">
        <v>1626</v>
      </c>
    </row>
    <row r="96" spans="1:11" x14ac:dyDescent="0.25">
      <c r="A96" s="5" t="s">
        <v>22</v>
      </c>
      <c r="B96" t="s">
        <v>118</v>
      </c>
      <c r="C96" s="8" t="s">
        <v>1831</v>
      </c>
      <c r="D96" t="s">
        <v>707</v>
      </c>
      <c r="E96">
        <v>0</v>
      </c>
      <c r="F96" t="s">
        <v>708</v>
      </c>
      <c r="G96" t="s">
        <v>1626</v>
      </c>
      <c r="H96" s="9" t="s">
        <v>692</v>
      </c>
      <c r="I96" s="8">
        <v>0</v>
      </c>
      <c r="J96" s="69"/>
      <c r="K96" t="s">
        <v>1626</v>
      </c>
    </row>
    <row r="97" spans="1:11" x14ac:dyDescent="0.25">
      <c r="A97" s="5" t="s">
        <v>22</v>
      </c>
      <c r="B97" t="s">
        <v>118</v>
      </c>
      <c r="C97" s="8" t="s">
        <v>1831</v>
      </c>
      <c r="D97" t="s">
        <v>709</v>
      </c>
      <c r="E97">
        <v>0</v>
      </c>
      <c r="F97" t="s">
        <v>710</v>
      </c>
      <c r="G97" t="s">
        <v>1626</v>
      </c>
      <c r="H97" s="9" t="s">
        <v>692</v>
      </c>
      <c r="I97" s="8">
        <v>0</v>
      </c>
      <c r="J97" s="69"/>
      <c r="K97" t="s">
        <v>1626</v>
      </c>
    </row>
    <row r="98" spans="1:11" x14ac:dyDescent="0.25">
      <c r="A98" s="5" t="s">
        <v>22</v>
      </c>
      <c r="B98" t="s">
        <v>118</v>
      </c>
      <c r="C98" s="8" t="s">
        <v>1832</v>
      </c>
      <c r="D98" t="s">
        <v>605</v>
      </c>
      <c r="E98">
        <v>0</v>
      </c>
      <c r="F98" t="s">
        <v>606</v>
      </c>
      <c r="G98" t="s">
        <v>1626</v>
      </c>
      <c r="H98" s="9" t="s">
        <v>607</v>
      </c>
      <c r="I98" s="8">
        <v>0</v>
      </c>
      <c r="J98" s="69"/>
      <c r="K98" t="s">
        <v>1626</v>
      </c>
    </row>
    <row r="99" spans="1:11" x14ac:dyDescent="0.25">
      <c r="A99" s="5" t="s">
        <v>22</v>
      </c>
      <c r="B99" t="s">
        <v>118</v>
      </c>
      <c r="C99" s="8">
        <v>207.28541666666666</v>
      </c>
      <c r="D99" t="s">
        <v>558</v>
      </c>
      <c r="E99">
        <v>0</v>
      </c>
      <c r="F99" t="s">
        <v>559</v>
      </c>
      <c r="G99" t="s">
        <v>1626</v>
      </c>
      <c r="H99" s="8">
        <v>277.79166666666669</v>
      </c>
      <c r="I99" s="8">
        <v>0</v>
      </c>
      <c r="J99" s="69"/>
      <c r="K99" t="s">
        <v>1626</v>
      </c>
    </row>
    <row r="100" spans="1:11" x14ac:dyDescent="0.25">
      <c r="A100" s="5" t="s">
        <v>22</v>
      </c>
      <c r="B100" t="s">
        <v>118</v>
      </c>
      <c r="C100" s="8" t="s">
        <v>1832</v>
      </c>
      <c r="D100" t="s">
        <v>608</v>
      </c>
      <c r="E100">
        <v>0</v>
      </c>
      <c r="F100" t="s">
        <v>609</v>
      </c>
      <c r="G100" t="s">
        <v>1626</v>
      </c>
      <c r="H100" s="9" t="s">
        <v>607</v>
      </c>
      <c r="I100" s="8">
        <v>0</v>
      </c>
      <c r="J100" s="69"/>
      <c r="K100" t="s">
        <v>1626</v>
      </c>
    </row>
    <row r="101" spans="1:11" x14ac:dyDescent="0.25">
      <c r="A101" s="5" t="s">
        <v>22</v>
      </c>
      <c r="B101" t="s">
        <v>118</v>
      </c>
      <c r="C101" s="8" t="s">
        <v>1832</v>
      </c>
      <c r="D101" t="s">
        <v>610</v>
      </c>
      <c r="E101">
        <v>0</v>
      </c>
      <c r="F101" t="s">
        <v>611</v>
      </c>
      <c r="G101" t="s">
        <v>1626</v>
      </c>
      <c r="H101" s="9" t="s">
        <v>607</v>
      </c>
      <c r="I101" s="8">
        <v>0</v>
      </c>
      <c r="J101" s="69"/>
      <c r="K101" t="s">
        <v>1626</v>
      </c>
    </row>
    <row r="102" spans="1:11" x14ac:dyDescent="0.25">
      <c r="A102" s="5" t="s">
        <v>22</v>
      </c>
      <c r="B102" t="s">
        <v>118</v>
      </c>
      <c r="C102" s="8" t="s">
        <v>1832</v>
      </c>
      <c r="D102" t="s">
        <v>612</v>
      </c>
      <c r="E102">
        <v>0</v>
      </c>
      <c r="F102" t="s">
        <v>613</v>
      </c>
      <c r="G102" t="s">
        <v>1626</v>
      </c>
      <c r="H102" s="9" t="s">
        <v>607</v>
      </c>
      <c r="I102" s="8">
        <v>0</v>
      </c>
      <c r="J102" s="69"/>
      <c r="K102" t="s">
        <v>1626</v>
      </c>
    </row>
    <row r="103" spans="1:11" x14ac:dyDescent="0.25">
      <c r="A103" s="5" t="s">
        <v>22</v>
      </c>
      <c r="B103" t="s">
        <v>118</v>
      </c>
      <c r="C103" s="8" t="s">
        <v>1832</v>
      </c>
      <c r="D103" t="s">
        <v>614</v>
      </c>
      <c r="E103">
        <v>0</v>
      </c>
      <c r="F103" t="s">
        <v>615</v>
      </c>
      <c r="G103" t="s">
        <v>1626</v>
      </c>
      <c r="H103" s="9" t="s">
        <v>607</v>
      </c>
      <c r="I103" s="8">
        <v>0</v>
      </c>
      <c r="J103" s="69"/>
      <c r="K103" t="s">
        <v>1626</v>
      </c>
    </row>
    <row r="104" spans="1:11" x14ac:dyDescent="0.25">
      <c r="A104" s="5" t="s">
        <v>22</v>
      </c>
      <c r="B104" t="s">
        <v>118</v>
      </c>
      <c r="C104" s="8" t="s">
        <v>1832</v>
      </c>
      <c r="D104" t="s">
        <v>616</v>
      </c>
      <c r="E104">
        <v>0</v>
      </c>
      <c r="F104" t="s">
        <v>617</v>
      </c>
      <c r="G104" t="s">
        <v>1626</v>
      </c>
      <c r="H104" s="9" t="s">
        <v>607</v>
      </c>
      <c r="I104" s="8">
        <v>0</v>
      </c>
      <c r="J104" s="69"/>
      <c r="K104" t="s">
        <v>1626</v>
      </c>
    </row>
    <row r="105" spans="1:11" x14ac:dyDescent="0.25">
      <c r="A105" s="5" t="s">
        <v>22</v>
      </c>
      <c r="B105" t="s">
        <v>118</v>
      </c>
      <c r="C105" s="8" t="s">
        <v>1832</v>
      </c>
      <c r="D105" t="s">
        <v>618</v>
      </c>
      <c r="E105">
        <v>0</v>
      </c>
      <c r="F105" t="s">
        <v>617</v>
      </c>
      <c r="G105" t="s">
        <v>1626</v>
      </c>
      <c r="H105" s="9" t="s">
        <v>607</v>
      </c>
      <c r="I105" s="8">
        <v>0</v>
      </c>
      <c r="J105" s="69"/>
      <c r="K105" t="s">
        <v>1626</v>
      </c>
    </row>
    <row r="106" spans="1:11" x14ac:dyDescent="0.25">
      <c r="A106" s="5" t="s">
        <v>22</v>
      </c>
      <c r="B106" t="s">
        <v>118</v>
      </c>
      <c r="C106" s="8" t="s">
        <v>1832</v>
      </c>
      <c r="D106" t="s">
        <v>619</v>
      </c>
      <c r="E106">
        <v>0</v>
      </c>
      <c r="F106" t="s">
        <v>620</v>
      </c>
      <c r="G106" t="s">
        <v>1626</v>
      </c>
      <c r="H106" s="9" t="s">
        <v>607</v>
      </c>
      <c r="I106" s="8">
        <v>0</v>
      </c>
      <c r="J106" s="69"/>
      <c r="K106" t="s">
        <v>1626</v>
      </c>
    </row>
    <row r="107" spans="1:11" x14ac:dyDescent="0.25">
      <c r="A107" s="5" t="s">
        <v>22</v>
      </c>
      <c r="B107" t="s">
        <v>118</v>
      </c>
      <c r="C107" s="9" t="s">
        <v>1832</v>
      </c>
      <c r="D107" t="s">
        <v>621</v>
      </c>
      <c r="E107">
        <v>0</v>
      </c>
      <c r="F107" t="s">
        <v>622</v>
      </c>
      <c r="G107" t="s">
        <v>1626</v>
      </c>
      <c r="H107" s="9" t="s">
        <v>607</v>
      </c>
      <c r="I107" s="9">
        <v>0</v>
      </c>
      <c r="J107" s="69"/>
      <c r="K107" t="s">
        <v>1626</v>
      </c>
    </row>
    <row r="108" spans="1:11" x14ac:dyDescent="0.25">
      <c r="A108" s="5" t="s">
        <v>22</v>
      </c>
      <c r="B108" t="s">
        <v>118</v>
      </c>
      <c r="C108" s="9" t="s">
        <v>1832</v>
      </c>
      <c r="D108" t="s">
        <v>623</v>
      </c>
      <c r="E108">
        <v>0</v>
      </c>
      <c r="F108" t="s">
        <v>624</v>
      </c>
      <c r="G108" t="s">
        <v>1626</v>
      </c>
      <c r="H108" s="9" t="s">
        <v>607</v>
      </c>
      <c r="I108" s="8">
        <v>0</v>
      </c>
      <c r="J108" s="69"/>
      <c r="K108" t="s">
        <v>1626</v>
      </c>
    </row>
    <row r="109" spans="1:11" x14ac:dyDescent="0.25">
      <c r="A109" s="5" t="s">
        <v>22</v>
      </c>
      <c r="B109" t="s">
        <v>118</v>
      </c>
      <c r="C109" s="9">
        <v>91.993750000000006</v>
      </c>
      <c r="D109" t="s">
        <v>468</v>
      </c>
      <c r="E109">
        <v>0</v>
      </c>
      <c r="F109" t="s">
        <v>469</v>
      </c>
      <c r="G109" t="s">
        <v>1626</v>
      </c>
      <c r="H109" s="9">
        <v>162.5</v>
      </c>
      <c r="I109" s="8">
        <v>0</v>
      </c>
      <c r="J109" s="69"/>
      <c r="K109" t="s">
        <v>1626</v>
      </c>
    </row>
    <row r="110" spans="1:11" x14ac:dyDescent="0.25">
      <c r="A110" s="5" t="s">
        <v>22</v>
      </c>
      <c r="B110" t="s">
        <v>118</v>
      </c>
      <c r="C110" s="9">
        <v>100.32708333333333</v>
      </c>
      <c r="D110" t="s">
        <v>484</v>
      </c>
      <c r="E110">
        <v>0</v>
      </c>
      <c r="F110" t="s">
        <v>485</v>
      </c>
      <c r="G110" t="s">
        <v>1626</v>
      </c>
      <c r="H110" s="9">
        <v>170.83333333333334</v>
      </c>
      <c r="I110" s="8">
        <v>0</v>
      </c>
      <c r="J110" s="69"/>
      <c r="K110" t="s">
        <v>1626</v>
      </c>
    </row>
    <row r="111" spans="1:11" x14ac:dyDescent="0.25">
      <c r="A111" s="5" t="s">
        <v>22</v>
      </c>
      <c r="B111" t="s">
        <v>118</v>
      </c>
      <c r="C111" s="9">
        <v>100.32708333333333</v>
      </c>
      <c r="D111" t="s">
        <v>486</v>
      </c>
      <c r="E111">
        <v>0</v>
      </c>
      <c r="F111" t="s">
        <v>485</v>
      </c>
      <c r="G111" t="s">
        <v>1626</v>
      </c>
      <c r="H111" s="9">
        <v>170.83333333333334</v>
      </c>
      <c r="I111" s="8">
        <v>0</v>
      </c>
      <c r="J111" s="69"/>
      <c r="K111" t="s">
        <v>1626</v>
      </c>
    </row>
    <row r="112" spans="1:11" x14ac:dyDescent="0.25">
      <c r="A112" s="5" t="s">
        <v>22</v>
      </c>
      <c r="B112" t="s">
        <v>118</v>
      </c>
      <c r="C112" s="9">
        <v>100.32708333333333</v>
      </c>
      <c r="D112" t="s">
        <v>487</v>
      </c>
      <c r="E112">
        <v>0</v>
      </c>
      <c r="F112" t="s">
        <v>485</v>
      </c>
      <c r="G112" t="s">
        <v>1626</v>
      </c>
      <c r="H112" s="9">
        <v>170.83333333333334</v>
      </c>
      <c r="I112" s="8">
        <v>0</v>
      </c>
      <c r="J112" s="69"/>
      <c r="K112" t="s">
        <v>1626</v>
      </c>
    </row>
    <row r="113" spans="1:11" x14ac:dyDescent="0.25">
      <c r="A113" s="5" t="s">
        <v>22</v>
      </c>
      <c r="B113" t="s">
        <v>118</v>
      </c>
      <c r="C113" s="9">
        <v>100.32708333333333</v>
      </c>
      <c r="D113" t="s">
        <v>488</v>
      </c>
      <c r="E113">
        <v>0</v>
      </c>
      <c r="F113" t="s">
        <v>485</v>
      </c>
      <c r="G113" t="s">
        <v>1626</v>
      </c>
      <c r="H113" s="9">
        <v>170.83333333333334</v>
      </c>
      <c r="I113" s="8">
        <v>0</v>
      </c>
      <c r="J113" s="69"/>
      <c r="K113" t="s">
        <v>1626</v>
      </c>
    </row>
    <row r="114" spans="1:11" x14ac:dyDescent="0.25">
      <c r="A114" s="5" t="s">
        <v>22</v>
      </c>
      <c r="B114" t="s">
        <v>118</v>
      </c>
      <c r="C114" s="9">
        <v>100.32708333333333</v>
      </c>
      <c r="D114" t="s">
        <v>489</v>
      </c>
      <c r="E114">
        <v>0</v>
      </c>
      <c r="F114" t="s">
        <v>485</v>
      </c>
      <c r="G114" t="s">
        <v>1626</v>
      </c>
      <c r="H114" s="9">
        <v>170.83333333333334</v>
      </c>
      <c r="I114" s="8">
        <v>0</v>
      </c>
      <c r="J114" s="69"/>
      <c r="K114" t="s">
        <v>1626</v>
      </c>
    </row>
    <row r="115" spans="1:11" x14ac:dyDescent="0.25">
      <c r="A115" s="5" t="s">
        <v>22</v>
      </c>
      <c r="B115" t="s">
        <v>118</v>
      </c>
      <c r="C115" s="9">
        <v>100.32708333333333</v>
      </c>
      <c r="D115" t="s">
        <v>490</v>
      </c>
      <c r="E115">
        <v>0</v>
      </c>
      <c r="F115" t="s">
        <v>485</v>
      </c>
      <c r="G115" t="s">
        <v>1626</v>
      </c>
      <c r="H115" s="9">
        <v>170.83333333333334</v>
      </c>
      <c r="I115" s="8">
        <v>0</v>
      </c>
      <c r="J115" s="69"/>
      <c r="K115" t="s">
        <v>1626</v>
      </c>
    </row>
    <row r="116" spans="1:11" x14ac:dyDescent="0.25">
      <c r="A116" s="5" t="s">
        <v>22</v>
      </c>
      <c r="B116" t="s">
        <v>118</v>
      </c>
      <c r="C116" s="9">
        <v>100.32708333333333</v>
      </c>
      <c r="D116" t="s">
        <v>491</v>
      </c>
      <c r="E116">
        <v>0</v>
      </c>
      <c r="F116" t="s">
        <v>485</v>
      </c>
      <c r="G116" t="s">
        <v>1626</v>
      </c>
      <c r="H116" s="9">
        <v>170.83333333333334</v>
      </c>
      <c r="I116" s="8">
        <v>0</v>
      </c>
      <c r="J116" s="69"/>
      <c r="K116" t="s">
        <v>1626</v>
      </c>
    </row>
    <row r="117" spans="1:11" x14ac:dyDescent="0.25">
      <c r="A117" s="5" t="s">
        <v>22</v>
      </c>
      <c r="B117" t="s">
        <v>118</v>
      </c>
      <c r="C117" s="9">
        <v>100.32708333333333</v>
      </c>
      <c r="D117" t="s">
        <v>492</v>
      </c>
      <c r="E117">
        <v>0</v>
      </c>
      <c r="F117" t="s">
        <v>485</v>
      </c>
      <c r="G117" t="s">
        <v>1626</v>
      </c>
      <c r="H117" s="9">
        <v>170.83333333333334</v>
      </c>
      <c r="I117" s="8">
        <v>0</v>
      </c>
      <c r="J117" s="69"/>
      <c r="K117" t="s">
        <v>1626</v>
      </c>
    </row>
    <row r="118" spans="1:11" x14ac:dyDescent="0.25">
      <c r="A118" s="5" t="s">
        <v>22</v>
      </c>
      <c r="B118" t="s">
        <v>118</v>
      </c>
      <c r="C118" s="9">
        <v>100.32708333333333</v>
      </c>
      <c r="D118" t="s">
        <v>493</v>
      </c>
      <c r="E118">
        <v>0</v>
      </c>
      <c r="F118" t="s">
        <v>485</v>
      </c>
      <c r="G118" t="s">
        <v>1626</v>
      </c>
      <c r="H118" s="9">
        <v>170.83333333333334</v>
      </c>
      <c r="I118" s="8">
        <v>0</v>
      </c>
      <c r="J118" s="69"/>
      <c r="K118" t="s">
        <v>1626</v>
      </c>
    </row>
    <row r="119" spans="1:11" x14ac:dyDescent="0.25">
      <c r="A119" s="5" t="s">
        <v>22</v>
      </c>
      <c r="B119" t="s">
        <v>118</v>
      </c>
      <c r="C119" s="9">
        <v>100.32708333333333</v>
      </c>
      <c r="D119" t="s">
        <v>494</v>
      </c>
      <c r="E119">
        <v>0</v>
      </c>
      <c r="F119" t="s">
        <v>485</v>
      </c>
      <c r="G119" t="s">
        <v>1626</v>
      </c>
      <c r="H119" s="9">
        <v>170.83333333333334</v>
      </c>
      <c r="I119" s="8">
        <v>0</v>
      </c>
      <c r="J119" s="69"/>
      <c r="K119" t="s">
        <v>1626</v>
      </c>
    </row>
    <row r="120" spans="1:11" x14ac:dyDescent="0.25">
      <c r="A120" s="5" t="s">
        <v>22</v>
      </c>
      <c r="B120" t="s">
        <v>118</v>
      </c>
      <c r="C120" s="9" t="s">
        <v>1832</v>
      </c>
      <c r="D120" t="s">
        <v>625</v>
      </c>
      <c r="E120">
        <v>0</v>
      </c>
      <c r="F120" t="s">
        <v>626</v>
      </c>
      <c r="G120" t="s">
        <v>1626</v>
      </c>
      <c r="H120" s="9" t="s">
        <v>607</v>
      </c>
      <c r="I120" s="8">
        <v>0</v>
      </c>
      <c r="J120" s="69"/>
      <c r="K120" t="s">
        <v>1626</v>
      </c>
    </row>
    <row r="121" spans="1:11" x14ac:dyDescent="0.25">
      <c r="A121" s="5" t="s">
        <v>22</v>
      </c>
      <c r="B121" t="s">
        <v>118</v>
      </c>
      <c r="C121" s="9" t="s">
        <v>1832</v>
      </c>
      <c r="D121" t="s">
        <v>627</v>
      </c>
      <c r="E121">
        <v>0</v>
      </c>
      <c r="F121" t="s">
        <v>628</v>
      </c>
      <c r="G121" t="s">
        <v>1626</v>
      </c>
      <c r="H121" s="9" t="s">
        <v>607</v>
      </c>
      <c r="I121" s="8">
        <v>0</v>
      </c>
      <c r="J121" s="69"/>
      <c r="K121" t="s">
        <v>1626</v>
      </c>
    </row>
    <row r="122" spans="1:11" x14ac:dyDescent="0.25">
      <c r="A122" s="5" t="s">
        <v>22</v>
      </c>
      <c r="B122" t="s">
        <v>118</v>
      </c>
      <c r="C122" s="9" t="s">
        <v>1832</v>
      </c>
      <c r="D122" t="s">
        <v>629</v>
      </c>
      <c r="E122">
        <v>0</v>
      </c>
      <c r="F122" t="s">
        <v>628</v>
      </c>
      <c r="G122" t="s">
        <v>1626</v>
      </c>
      <c r="H122" s="9" t="s">
        <v>607</v>
      </c>
      <c r="I122" s="8">
        <v>0</v>
      </c>
      <c r="J122" s="69"/>
      <c r="K122" t="s">
        <v>1626</v>
      </c>
    </row>
    <row r="123" spans="1:11" x14ac:dyDescent="0.25">
      <c r="A123" s="5" t="s">
        <v>22</v>
      </c>
      <c r="B123" t="s">
        <v>118</v>
      </c>
      <c r="C123" s="9" t="s">
        <v>1832</v>
      </c>
      <c r="D123" t="s">
        <v>630</v>
      </c>
      <c r="E123">
        <v>0</v>
      </c>
      <c r="F123" t="s">
        <v>631</v>
      </c>
      <c r="G123" t="s">
        <v>1626</v>
      </c>
      <c r="H123" s="9" t="s">
        <v>607</v>
      </c>
      <c r="I123" s="8">
        <v>0</v>
      </c>
      <c r="J123" s="69"/>
      <c r="K123" t="s">
        <v>1626</v>
      </c>
    </row>
    <row r="124" spans="1:11" x14ac:dyDescent="0.25">
      <c r="A124" s="5" t="s">
        <v>22</v>
      </c>
      <c r="B124" t="s">
        <v>118</v>
      </c>
      <c r="C124" s="9" t="s">
        <v>1832</v>
      </c>
      <c r="D124" t="s">
        <v>632</v>
      </c>
      <c r="E124">
        <v>0</v>
      </c>
      <c r="F124" t="s">
        <v>631</v>
      </c>
      <c r="G124" t="s">
        <v>1626</v>
      </c>
      <c r="H124" s="9" t="s">
        <v>607</v>
      </c>
      <c r="I124" s="8">
        <v>0</v>
      </c>
      <c r="J124" s="69"/>
      <c r="K124" t="s">
        <v>1626</v>
      </c>
    </row>
    <row r="125" spans="1:11" x14ac:dyDescent="0.25">
      <c r="A125" s="5" t="s">
        <v>22</v>
      </c>
      <c r="B125" t="s">
        <v>118</v>
      </c>
      <c r="C125" s="9" t="s">
        <v>1832</v>
      </c>
      <c r="D125" t="s">
        <v>633</v>
      </c>
      <c r="E125">
        <v>0</v>
      </c>
      <c r="F125" t="s">
        <v>634</v>
      </c>
      <c r="G125" t="s">
        <v>1626</v>
      </c>
      <c r="H125" s="9" t="s">
        <v>607</v>
      </c>
      <c r="I125" s="8">
        <v>0</v>
      </c>
      <c r="J125" s="69"/>
      <c r="K125" t="s">
        <v>1626</v>
      </c>
    </row>
    <row r="126" spans="1:11" x14ac:dyDescent="0.25">
      <c r="A126" s="5" t="s">
        <v>22</v>
      </c>
      <c r="B126" t="s">
        <v>118</v>
      </c>
      <c r="C126" s="9" t="s">
        <v>1832</v>
      </c>
      <c r="D126" t="s">
        <v>635</v>
      </c>
      <c r="E126">
        <v>0</v>
      </c>
      <c r="F126" t="s">
        <v>636</v>
      </c>
      <c r="G126" t="s">
        <v>1626</v>
      </c>
      <c r="H126" s="9" t="s">
        <v>607</v>
      </c>
      <c r="I126" s="8">
        <v>0</v>
      </c>
      <c r="J126" s="69"/>
      <c r="K126" t="s">
        <v>1626</v>
      </c>
    </row>
    <row r="127" spans="1:11" x14ac:dyDescent="0.25">
      <c r="A127" s="5" t="s">
        <v>22</v>
      </c>
      <c r="B127" t="s">
        <v>118</v>
      </c>
      <c r="C127" s="9" t="s">
        <v>1832</v>
      </c>
      <c r="D127" t="s">
        <v>637</v>
      </c>
      <c r="E127">
        <v>0</v>
      </c>
      <c r="F127" t="s">
        <v>638</v>
      </c>
      <c r="G127" t="s">
        <v>1626</v>
      </c>
      <c r="H127" s="9" t="s">
        <v>607</v>
      </c>
      <c r="I127" s="8">
        <v>0</v>
      </c>
      <c r="J127" s="69"/>
      <c r="K127" t="s">
        <v>1626</v>
      </c>
    </row>
    <row r="128" spans="1:11" x14ac:dyDescent="0.25">
      <c r="A128" s="5" t="s">
        <v>22</v>
      </c>
      <c r="B128" t="s">
        <v>118</v>
      </c>
      <c r="C128" s="9" t="s">
        <v>1832</v>
      </c>
      <c r="D128" t="s">
        <v>639</v>
      </c>
      <c r="E128">
        <v>0</v>
      </c>
      <c r="F128" t="s">
        <v>640</v>
      </c>
      <c r="G128" t="s">
        <v>1626</v>
      </c>
      <c r="H128" s="9" t="s">
        <v>607</v>
      </c>
      <c r="I128" s="8">
        <v>0</v>
      </c>
      <c r="J128" s="69"/>
      <c r="K128" t="s">
        <v>1626</v>
      </c>
    </row>
    <row r="129" spans="1:11" x14ac:dyDescent="0.25">
      <c r="A129" s="5" t="s">
        <v>22</v>
      </c>
      <c r="B129" t="s">
        <v>118</v>
      </c>
      <c r="C129" s="9" t="s">
        <v>1832</v>
      </c>
      <c r="D129" t="s">
        <v>641</v>
      </c>
      <c r="E129">
        <v>0</v>
      </c>
      <c r="F129" t="s">
        <v>642</v>
      </c>
      <c r="G129" t="s">
        <v>1626</v>
      </c>
      <c r="H129" s="9" t="s">
        <v>607</v>
      </c>
      <c r="I129" s="8">
        <v>0</v>
      </c>
      <c r="J129" s="69"/>
      <c r="K129" t="s">
        <v>1626</v>
      </c>
    </row>
    <row r="130" spans="1:11" x14ac:dyDescent="0.25">
      <c r="A130" s="5" t="s">
        <v>22</v>
      </c>
      <c r="B130" t="s">
        <v>118</v>
      </c>
      <c r="C130" s="9">
        <v>154.49375000000001</v>
      </c>
      <c r="D130" t="s">
        <v>526</v>
      </c>
      <c r="E130">
        <v>0</v>
      </c>
      <c r="F130" t="s">
        <v>527</v>
      </c>
      <c r="G130" t="s">
        <v>1626</v>
      </c>
      <c r="H130" s="9">
        <v>225</v>
      </c>
      <c r="I130" s="8">
        <v>0</v>
      </c>
      <c r="J130" s="69"/>
      <c r="K130" t="s">
        <v>1626</v>
      </c>
    </row>
    <row r="131" spans="1:11" x14ac:dyDescent="0.25">
      <c r="A131" s="5" t="s">
        <v>22</v>
      </c>
      <c r="B131" t="s">
        <v>118</v>
      </c>
      <c r="C131" s="9">
        <v>154.49375000000001</v>
      </c>
      <c r="D131" t="s">
        <v>528</v>
      </c>
      <c r="E131">
        <v>0</v>
      </c>
      <c r="F131" t="s">
        <v>527</v>
      </c>
      <c r="G131" t="s">
        <v>1626</v>
      </c>
      <c r="H131" s="9">
        <v>225</v>
      </c>
      <c r="I131" s="8">
        <v>0</v>
      </c>
      <c r="J131" s="69"/>
      <c r="K131" t="s">
        <v>1626</v>
      </c>
    </row>
    <row r="132" spans="1:11" x14ac:dyDescent="0.25">
      <c r="A132" s="5" t="s">
        <v>22</v>
      </c>
      <c r="B132" t="s">
        <v>118</v>
      </c>
      <c r="C132" s="9">
        <v>154.49375000000001</v>
      </c>
      <c r="D132" t="s">
        <v>529</v>
      </c>
      <c r="E132">
        <v>0</v>
      </c>
      <c r="F132" t="s">
        <v>527</v>
      </c>
      <c r="G132" t="s">
        <v>1626</v>
      </c>
      <c r="H132" s="9">
        <v>225</v>
      </c>
      <c r="I132" s="8">
        <v>0</v>
      </c>
      <c r="J132" s="69"/>
      <c r="K132" t="s">
        <v>1626</v>
      </c>
    </row>
    <row r="133" spans="1:11" x14ac:dyDescent="0.25">
      <c r="A133" s="5" t="s">
        <v>22</v>
      </c>
      <c r="B133" t="s">
        <v>118</v>
      </c>
      <c r="C133" s="9">
        <v>154.49375000000001</v>
      </c>
      <c r="D133" t="s">
        <v>530</v>
      </c>
      <c r="E133">
        <v>0</v>
      </c>
      <c r="F133" t="s">
        <v>531</v>
      </c>
      <c r="G133" t="s">
        <v>1626</v>
      </c>
      <c r="H133" s="9">
        <v>225</v>
      </c>
      <c r="I133" s="8">
        <v>0</v>
      </c>
      <c r="J133" s="69"/>
      <c r="K133" t="s">
        <v>1626</v>
      </c>
    </row>
    <row r="134" spans="1:11" x14ac:dyDescent="0.25">
      <c r="A134" s="5" t="s">
        <v>22</v>
      </c>
      <c r="B134" t="s">
        <v>118</v>
      </c>
      <c r="C134" s="9">
        <v>154.49375000000001</v>
      </c>
      <c r="D134" t="s">
        <v>532</v>
      </c>
      <c r="E134">
        <v>0</v>
      </c>
      <c r="F134" t="s">
        <v>531</v>
      </c>
      <c r="G134" t="s">
        <v>1626</v>
      </c>
      <c r="H134" s="9">
        <v>225</v>
      </c>
      <c r="I134" s="8">
        <v>0</v>
      </c>
      <c r="J134" s="69"/>
      <c r="K134" t="s">
        <v>1626</v>
      </c>
    </row>
    <row r="135" spans="1:11" x14ac:dyDescent="0.25">
      <c r="A135" s="5" t="s">
        <v>22</v>
      </c>
      <c r="B135" t="s">
        <v>118</v>
      </c>
      <c r="C135" s="9">
        <v>154.49375000000001</v>
      </c>
      <c r="D135" t="s">
        <v>533</v>
      </c>
      <c r="E135">
        <v>0</v>
      </c>
      <c r="F135" t="s">
        <v>531</v>
      </c>
      <c r="G135" t="s">
        <v>1626</v>
      </c>
      <c r="H135" s="9">
        <v>225</v>
      </c>
      <c r="I135" s="8">
        <v>0</v>
      </c>
      <c r="J135" s="69"/>
      <c r="K135" t="s">
        <v>1626</v>
      </c>
    </row>
    <row r="136" spans="1:11" x14ac:dyDescent="0.25">
      <c r="A136" s="5" t="s">
        <v>22</v>
      </c>
      <c r="B136" t="s">
        <v>118</v>
      </c>
      <c r="C136" s="9">
        <v>154.49375000000001</v>
      </c>
      <c r="D136" t="s">
        <v>534</v>
      </c>
      <c r="E136">
        <v>0</v>
      </c>
      <c r="F136" t="s">
        <v>531</v>
      </c>
      <c r="G136" t="s">
        <v>1626</v>
      </c>
      <c r="H136" s="9">
        <v>225</v>
      </c>
      <c r="I136" s="8">
        <v>0</v>
      </c>
      <c r="J136" s="69"/>
      <c r="K136" t="s">
        <v>1626</v>
      </c>
    </row>
    <row r="137" spans="1:11" x14ac:dyDescent="0.25">
      <c r="A137" s="5" t="s">
        <v>22</v>
      </c>
      <c r="B137" t="s">
        <v>118</v>
      </c>
      <c r="C137" s="9">
        <v>154.49375000000001</v>
      </c>
      <c r="D137" t="s">
        <v>535</v>
      </c>
      <c r="E137">
        <v>0</v>
      </c>
      <c r="F137" t="s">
        <v>531</v>
      </c>
      <c r="G137" t="s">
        <v>1626</v>
      </c>
      <c r="H137" s="9">
        <v>225</v>
      </c>
      <c r="I137" s="8">
        <v>0</v>
      </c>
      <c r="J137" s="69"/>
      <c r="K137" t="s">
        <v>1626</v>
      </c>
    </row>
    <row r="138" spans="1:11" x14ac:dyDescent="0.25">
      <c r="A138" s="5" t="s">
        <v>22</v>
      </c>
      <c r="B138" t="s">
        <v>118</v>
      </c>
      <c r="C138" s="9">
        <v>154.49375000000001</v>
      </c>
      <c r="D138" t="s">
        <v>536</v>
      </c>
      <c r="E138">
        <v>0</v>
      </c>
      <c r="F138" t="s">
        <v>531</v>
      </c>
      <c r="G138" t="s">
        <v>1626</v>
      </c>
      <c r="H138" s="9">
        <v>225</v>
      </c>
      <c r="I138" s="8">
        <v>0</v>
      </c>
      <c r="J138" s="69"/>
      <c r="K138" t="s">
        <v>1626</v>
      </c>
    </row>
    <row r="139" spans="1:11" x14ac:dyDescent="0.25">
      <c r="A139" s="5" t="s">
        <v>22</v>
      </c>
      <c r="B139" t="s">
        <v>118</v>
      </c>
      <c r="C139" s="9">
        <v>154.49375000000001</v>
      </c>
      <c r="D139" t="s">
        <v>537</v>
      </c>
      <c r="E139">
        <v>0</v>
      </c>
      <c r="F139" t="s">
        <v>538</v>
      </c>
      <c r="G139" t="s">
        <v>1626</v>
      </c>
      <c r="H139" s="9">
        <v>225</v>
      </c>
      <c r="I139" s="8">
        <v>0</v>
      </c>
      <c r="J139" s="69"/>
      <c r="K139" t="s">
        <v>1626</v>
      </c>
    </row>
    <row r="140" spans="1:11" x14ac:dyDescent="0.25">
      <c r="A140" s="5" t="s">
        <v>22</v>
      </c>
      <c r="B140" t="s">
        <v>118</v>
      </c>
      <c r="C140" s="9">
        <v>154.49375000000001</v>
      </c>
      <c r="D140" t="s">
        <v>539</v>
      </c>
      <c r="E140">
        <v>0</v>
      </c>
      <c r="F140" t="s">
        <v>540</v>
      </c>
      <c r="G140" t="s">
        <v>1626</v>
      </c>
      <c r="H140" s="9">
        <v>225</v>
      </c>
      <c r="I140" s="8">
        <v>0</v>
      </c>
      <c r="J140" s="69"/>
      <c r="K140" t="s">
        <v>1626</v>
      </c>
    </row>
    <row r="141" spans="1:11" x14ac:dyDescent="0.25">
      <c r="A141" s="5" t="s">
        <v>22</v>
      </c>
      <c r="B141" t="s">
        <v>118</v>
      </c>
      <c r="C141" s="9" t="s">
        <v>1832</v>
      </c>
      <c r="D141" t="s">
        <v>643</v>
      </c>
      <c r="E141">
        <v>0</v>
      </c>
      <c r="F141" t="s">
        <v>644</v>
      </c>
      <c r="G141" t="s">
        <v>1626</v>
      </c>
      <c r="H141" s="9" t="s">
        <v>607</v>
      </c>
      <c r="I141" s="8">
        <v>0</v>
      </c>
      <c r="J141" s="69"/>
      <c r="K141" t="s">
        <v>1626</v>
      </c>
    </row>
    <row r="142" spans="1:11" x14ac:dyDescent="0.25">
      <c r="A142" s="5" t="s">
        <v>22</v>
      </c>
      <c r="B142" t="s">
        <v>118</v>
      </c>
      <c r="C142" s="9" t="s">
        <v>1832</v>
      </c>
      <c r="D142" t="s">
        <v>645</v>
      </c>
      <c r="E142">
        <v>0</v>
      </c>
      <c r="F142" t="s">
        <v>646</v>
      </c>
      <c r="G142" t="s">
        <v>1626</v>
      </c>
      <c r="H142" s="9" t="s">
        <v>607</v>
      </c>
      <c r="I142" s="8">
        <v>0</v>
      </c>
      <c r="J142" s="69"/>
      <c r="K142" t="s">
        <v>1626</v>
      </c>
    </row>
    <row r="143" spans="1:11" x14ac:dyDescent="0.25">
      <c r="A143" s="5" t="s">
        <v>22</v>
      </c>
      <c r="B143" t="s">
        <v>118</v>
      </c>
      <c r="C143" s="9" t="s">
        <v>1832</v>
      </c>
      <c r="D143" t="s">
        <v>647</v>
      </c>
      <c r="E143">
        <v>0</v>
      </c>
      <c r="F143" t="s">
        <v>646</v>
      </c>
      <c r="G143" t="s">
        <v>1626</v>
      </c>
      <c r="H143" s="9" t="s">
        <v>607</v>
      </c>
      <c r="I143" s="8">
        <v>0</v>
      </c>
      <c r="J143" s="69"/>
      <c r="K143" t="s">
        <v>1626</v>
      </c>
    </row>
    <row r="144" spans="1:11" x14ac:dyDescent="0.25">
      <c r="A144" s="5" t="s">
        <v>22</v>
      </c>
      <c r="B144" t="s">
        <v>118</v>
      </c>
      <c r="C144" s="9">
        <v>54.493749999999999</v>
      </c>
      <c r="D144" t="s">
        <v>418</v>
      </c>
      <c r="E144">
        <v>0</v>
      </c>
      <c r="F144" t="s">
        <v>419</v>
      </c>
      <c r="G144" t="s">
        <v>1626</v>
      </c>
      <c r="H144" s="9">
        <v>125</v>
      </c>
      <c r="I144" s="8">
        <v>0</v>
      </c>
      <c r="J144" s="69"/>
      <c r="K144" t="s">
        <v>1626</v>
      </c>
    </row>
    <row r="145" spans="1:11" x14ac:dyDescent="0.25">
      <c r="A145" s="5" t="s">
        <v>22</v>
      </c>
      <c r="B145" t="s">
        <v>118</v>
      </c>
      <c r="C145" s="9" t="s">
        <v>1832</v>
      </c>
      <c r="D145" t="s">
        <v>648</v>
      </c>
      <c r="E145">
        <v>0</v>
      </c>
      <c r="F145" t="s">
        <v>419</v>
      </c>
      <c r="G145" t="s">
        <v>1626</v>
      </c>
      <c r="H145" s="9" t="s">
        <v>607</v>
      </c>
      <c r="I145" s="8">
        <v>0</v>
      </c>
      <c r="J145" s="69"/>
      <c r="K145" t="s">
        <v>1626</v>
      </c>
    </row>
    <row r="146" spans="1:11" x14ac:dyDescent="0.25">
      <c r="A146" s="5" t="s">
        <v>22</v>
      </c>
      <c r="B146" t="s">
        <v>118</v>
      </c>
      <c r="C146" s="9">
        <v>154.49375000000001</v>
      </c>
      <c r="D146" t="s">
        <v>541</v>
      </c>
      <c r="E146">
        <v>0</v>
      </c>
      <c r="F146" t="s">
        <v>542</v>
      </c>
      <c r="G146" t="s">
        <v>1626</v>
      </c>
      <c r="H146" s="9">
        <v>225</v>
      </c>
      <c r="I146" s="8">
        <v>0</v>
      </c>
      <c r="J146" s="69"/>
      <c r="K146" t="s">
        <v>1626</v>
      </c>
    </row>
    <row r="147" spans="1:11" x14ac:dyDescent="0.25">
      <c r="A147" s="5" t="s">
        <v>22</v>
      </c>
      <c r="B147" t="s">
        <v>118</v>
      </c>
      <c r="C147" s="9" t="s">
        <v>1832</v>
      </c>
      <c r="D147" t="s">
        <v>649</v>
      </c>
      <c r="E147">
        <v>0</v>
      </c>
      <c r="F147" t="s">
        <v>650</v>
      </c>
      <c r="G147" t="s">
        <v>1626</v>
      </c>
      <c r="H147" s="9" t="s">
        <v>607</v>
      </c>
      <c r="I147" s="8">
        <v>0</v>
      </c>
      <c r="J147" s="69"/>
      <c r="K147" t="s">
        <v>1626</v>
      </c>
    </row>
    <row r="148" spans="1:11" x14ac:dyDescent="0.25">
      <c r="A148" s="5" t="s">
        <v>22</v>
      </c>
      <c r="B148" t="s">
        <v>118</v>
      </c>
      <c r="C148" s="9">
        <v>225.32708333333332</v>
      </c>
      <c r="D148" t="s">
        <v>564</v>
      </c>
      <c r="E148">
        <v>0</v>
      </c>
      <c r="F148" t="s">
        <v>565</v>
      </c>
      <c r="G148" t="s">
        <v>1626</v>
      </c>
      <c r="H148" s="9">
        <v>295.83333333333331</v>
      </c>
      <c r="I148" s="8">
        <v>0</v>
      </c>
      <c r="J148" s="69"/>
      <c r="K148" t="s">
        <v>1626</v>
      </c>
    </row>
    <row r="149" spans="1:11" x14ac:dyDescent="0.25">
      <c r="A149" s="5" t="s">
        <v>22</v>
      </c>
      <c r="B149" t="s">
        <v>118</v>
      </c>
      <c r="C149" s="9">
        <v>225.32708333333332</v>
      </c>
      <c r="D149" t="s">
        <v>566</v>
      </c>
      <c r="E149">
        <v>0</v>
      </c>
      <c r="F149" t="s">
        <v>567</v>
      </c>
      <c r="G149" t="s">
        <v>1626</v>
      </c>
      <c r="H149" s="9">
        <v>295.83333333333331</v>
      </c>
      <c r="I149" s="8">
        <v>0</v>
      </c>
      <c r="J149" s="69"/>
      <c r="K149" t="s">
        <v>1626</v>
      </c>
    </row>
    <row r="150" spans="1:11" x14ac:dyDescent="0.25">
      <c r="A150" s="5" t="s">
        <v>22</v>
      </c>
      <c r="B150" t="s">
        <v>118</v>
      </c>
      <c r="C150" s="9">
        <v>100.32708333333333</v>
      </c>
      <c r="D150" t="s">
        <v>495</v>
      </c>
      <c r="E150">
        <v>0</v>
      </c>
      <c r="F150" t="s">
        <v>496</v>
      </c>
      <c r="G150" t="s">
        <v>1626</v>
      </c>
      <c r="H150" s="9">
        <v>170.83333333333334</v>
      </c>
      <c r="I150" s="8">
        <v>0</v>
      </c>
      <c r="J150" s="69"/>
      <c r="K150" t="s">
        <v>1626</v>
      </c>
    </row>
    <row r="151" spans="1:11" x14ac:dyDescent="0.25">
      <c r="A151" s="5" t="s">
        <v>22</v>
      </c>
      <c r="B151" t="s">
        <v>118</v>
      </c>
      <c r="C151" s="9">
        <v>100.32708333333333</v>
      </c>
      <c r="D151" t="s">
        <v>497</v>
      </c>
      <c r="E151">
        <v>0</v>
      </c>
      <c r="F151" t="s">
        <v>496</v>
      </c>
      <c r="G151" t="s">
        <v>1626</v>
      </c>
      <c r="H151" s="9">
        <v>170.83333333333334</v>
      </c>
      <c r="I151" s="8">
        <v>0</v>
      </c>
      <c r="J151" s="69"/>
      <c r="K151" t="s">
        <v>1626</v>
      </c>
    </row>
    <row r="152" spans="1:11" x14ac:dyDescent="0.25">
      <c r="A152" s="5" t="s">
        <v>22</v>
      </c>
      <c r="B152" t="s">
        <v>118</v>
      </c>
      <c r="C152" s="9">
        <v>100.32708333333333</v>
      </c>
      <c r="D152" t="s">
        <v>498</v>
      </c>
      <c r="E152">
        <v>0</v>
      </c>
      <c r="F152" t="s">
        <v>496</v>
      </c>
      <c r="G152" t="s">
        <v>1626</v>
      </c>
      <c r="H152" s="9">
        <v>170.83333333333334</v>
      </c>
      <c r="I152" s="8">
        <v>0</v>
      </c>
      <c r="J152" s="69"/>
      <c r="K152" t="s">
        <v>1626</v>
      </c>
    </row>
    <row r="153" spans="1:11" x14ac:dyDescent="0.25">
      <c r="A153" s="5" t="s">
        <v>22</v>
      </c>
      <c r="B153" t="s">
        <v>118</v>
      </c>
      <c r="C153" s="9">
        <v>100.32708333333333</v>
      </c>
      <c r="D153" t="s">
        <v>499</v>
      </c>
      <c r="E153">
        <v>0</v>
      </c>
      <c r="F153" t="s">
        <v>496</v>
      </c>
      <c r="G153" t="s">
        <v>1626</v>
      </c>
      <c r="H153" s="9">
        <v>170.83333333333334</v>
      </c>
      <c r="I153" s="8">
        <v>0</v>
      </c>
      <c r="J153" s="69"/>
      <c r="K153" t="s">
        <v>1626</v>
      </c>
    </row>
    <row r="154" spans="1:11" x14ac:dyDescent="0.25">
      <c r="A154" s="5" t="s">
        <v>22</v>
      </c>
      <c r="B154" t="s">
        <v>118</v>
      </c>
      <c r="C154" s="9">
        <v>100.32708333333333</v>
      </c>
      <c r="D154" t="s">
        <v>500</v>
      </c>
      <c r="E154">
        <v>0</v>
      </c>
      <c r="F154" t="s">
        <v>496</v>
      </c>
      <c r="G154" t="s">
        <v>1626</v>
      </c>
      <c r="H154" s="9">
        <v>170.83333333333334</v>
      </c>
      <c r="I154" s="8">
        <v>0</v>
      </c>
      <c r="J154" s="69"/>
      <c r="K154" t="s">
        <v>1626</v>
      </c>
    </row>
    <row r="155" spans="1:11" x14ac:dyDescent="0.25">
      <c r="A155" s="5" t="s">
        <v>22</v>
      </c>
      <c r="B155" t="s">
        <v>118</v>
      </c>
      <c r="C155" s="9">
        <v>100.32708333333333</v>
      </c>
      <c r="D155" t="s">
        <v>501</v>
      </c>
      <c r="E155">
        <v>0</v>
      </c>
      <c r="F155" t="s">
        <v>496</v>
      </c>
      <c r="G155" t="s">
        <v>1626</v>
      </c>
      <c r="H155" s="9">
        <v>170.83333333333334</v>
      </c>
      <c r="I155" s="8">
        <v>0</v>
      </c>
      <c r="J155" s="69"/>
      <c r="K155" t="s">
        <v>1626</v>
      </c>
    </row>
    <row r="156" spans="1:11" x14ac:dyDescent="0.25">
      <c r="A156" s="5" t="s">
        <v>22</v>
      </c>
      <c r="B156" t="s">
        <v>118</v>
      </c>
      <c r="C156" s="9">
        <v>225.32708333333332</v>
      </c>
      <c r="D156" t="s">
        <v>568</v>
      </c>
      <c r="E156">
        <v>0</v>
      </c>
      <c r="F156" t="s">
        <v>569</v>
      </c>
      <c r="G156" t="s">
        <v>1626</v>
      </c>
      <c r="H156" s="9">
        <v>295.83333333333331</v>
      </c>
      <c r="I156" s="8">
        <v>0</v>
      </c>
      <c r="J156" s="69"/>
      <c r="K156" t="s">
        <v>1626</v>
      </c>
    </row>
    <row r="157" spans="1:11" x14ac:dyDescent="0.25">
      <c r="A157" s="5" t="s">
        <v>22</v>
      </c>
      <c r="B157" t="s">
        <v>118</v>
      </c>
      <c r="C157" s="9">
        <v>225.32708333333332</v>
      </c>
      <c r="D157" t="s">
        <v>570</v>
      </c>
      <c r="E157">
        <v>0</v>
      </c>
      <c r="F157" t="s">
        <v>569</v>
      </c>
      <c r="G157" t="s">
        <v>1626</v>
      </c>
      <c r="H157" s="9">
        <v>295.83333333333331</v>
      </c>
      <c r="I157" s="8">
        <v>0</v>
      </c>
      <c r="J157" s="69"/>
      <c r="K157" t="s">
        <v>1626</v>
      </c>
    </row>
    <row r="158" spans="1:11" x14ac:dyDescent="0.25">
      <c r="A158" s="5" t="s">
        <v>22</v>
      </c>
      <c r="B158" t="s">
        <v>118</v>
      </c>
      <c r="C158" s="9" t="s">
        <v>1832</v>
      </c>
      <c r="D158" t="s">
        <v>651</v>
      </c>
      <c r="E158">
        <v>0</v>
      </c>
      <c r="F158" t="s">
        <v>652</v>
      </c>
      <c r="G158" t="s">
        <v>1626</v>
      </c>
      <c r="H158" s="9" t="s">
        <v>607</v>
      </c>
      <c r="I158" s="8">
        <v>0</v>
      </c>
      <c r="J158" s="69"/>
      <c r="K158" t="s">
        <v>1626</v>
      </c>
    </row>
    <row r="159" spans="1:11" x14ac:dyDescent="0.25">
      <c r="A159" s="5" t="s">
        <v>22</v>
      </c>
      <c r="B159" t="s">
        <v>118</v>
      </c>
      <c r="C159" s="9" t="s">
        <v>1832</v>
      </c>
      <c r="D159" t="s">
        <v>653</v>
      </c>
      <c r="E159">
        <v>0</v>
      </c>
      <c r="F159" t="s">
        <v>654</v>
      </c>
      <c r="G159" t="s">
        <v>1626</v>
      </c>
      <c r="H159" s="9" t="s">
        <v>607</v>
      </c>
      <c r="I159" s="8">
        <v>0</v>
      </c>
      <c r="J159" s="69"/>
      <c r="K159" t="s">
        <v>1626</v>
      </c>
    </row>
    <row r="160" spans="1:11" x14ac:dyDescent="0.25">
      <c r="A160" s="5" t="s">
        <v>22</v>
      </c>
      <c r="B160" t="s">
        <v>118</v>
      </c>
      <c r="C160" s="9" t="s">
        <v>1832</v>
      </c>
      <c r="D160" t="s">
        <v>655</v>
      </c>
      <c r="E160">
        <v>0</v>
      </c>
      <c r="F160" t="s">
        <v>654</v>
      </c>
      <c r="G160" t="s">
        <v>1626</v>
      </c>
      <c r="H160" s="9" t="s">
        <v>607</v>
      </c>
      <c r="I160" s="8">
        <v>0</v>
      </c>
      <c r="J160" s="69"/>
      <c r="K160" t="s">
        <v>1626</v>
      </c>
    </row>
    <row r="161" spans="1:11" x14ac:dyDescent="0.25">
      <c r="A161" s="5" t="s">
        <v>22</v>
      </c>
      <c r="B161" t="s">
        <v>118</v>
      </c>
      <c r="C161" s="9" t="s">
        <v>1829</v>
      </c>
      <c r="D161" t="s">
        <v>727</v>
      </c>
      <c r="E161">
        <v>0</v>
      </c>
      <c r="F161" t="s">
        <v>728</v>
      </c>
      <c r="G161" t="s">
        <v>1626</v>
      </c>
      <c r="H161" t="s">
        <v>66</v>
      </c>
      <c r="I161" s="8">
        <v>0</v>
      </c>
      <c r="J161" s="69"/>
      <c r="K161" t="s">
        <v>1626</v>
      </c>
    </row>
    <row r="162" spans="1:11" x14ac:dyDescent="0.25">
      <c r="A162" s="5" t="s">
        <v>22</v>
      </c>
      <c r="B162" t="s">
        <v>118</v>
      </c>
      <c r="C162" s="9" t="s">
        <v>1829</v>
      </c>
      <c r="D162" t="s">
        <v>729</v>
      </c>
      <c r="E162">
        <v>0</v>
      </c>
      <c r="F162" t="s">
        <v>730</v>
      </c>
      <c r="G162" t="s">
        <v>1626</v>
      </c>
      <c r="H162" s="9">
        <v>208.33333333333334</v>
      </c>
      <c r="I162" s="8">
        <v>0</v>
      </c>
      <c r="J162" s="69"/>
      <c r="K162" t="s">
        <v>1626</v>
      </c>
    </row>
    <row r="163" spans="1:11" x14ac:dyDescent="0.25">
      <c r="A163" s="5" t="s">
        <v>22</v>
      </c>
      <c r="B163" t="s">
        <v>118</v>
      </c>
      <c r="C163" s="9" t="s">
        <v>1829</v>
      </c>
      <c r="D163" t="s">
        <v>731</v>
      </c>
      <c r="E163">
        <v>0</v>
      </c>
      <c r="F163" t="s">
        <v>730</v>
      </c>
      <c r="G163" t="s">
        <v>1626</v>
      </c>
      <c r="H163" s="9">
        <v>208.33333333333334</v>
      </c>
      <c r="I163" s="8">
        <v>0</v>
      </c>
      <c r="J163" s="69"/>
      <c r="K163" t="s">
        <v>1626</v>
      </c>
    </row>
    <row r="164" spans="1:11" x14ac:dyDescent="0.25">
      <c r="A164" s="5" t="s">
        <v>22</v>
      </c>
      <c r="B164" t="s">
        <v>118</v>
      </c>
      <c r="C164" s="9" t="s">
        <v>1829</v>
      </c>
      <c r="D164" t="s">
        <v>732</v>
      </c>
      <c r="E164">
        <v>0</v>
      </c>
      <c r="F164" t="s">
        <v>730</v>
      </c>
      <c r="G164" t="s">
        <v>1626</v>
      </c>
      <c r="H164" s="9">
        <v>208.33333333333334</v>
      </c>
      <c r="I164" s="8">
        <v>0</v>
      </c>
      <c r="J164" s="69"/>
      <c r="K164" t="s">
        <v>1626</v>
      </c>
    </row>
    <row r="165" spans="1:11" x14ac:dyDescent="0.25">
      <c r="A165" s="5" t="s">
        <v>22</v>
      </c>
      <c r="B165" t="s">
        <v>118</v>
      </c>
      <c r="C165" s="9" t="s">
        <v>1833</v>
      </c>
      <c r="D165" t="s">
        <v>838</v>
      </c>
      <c r="E165">
        <v>0</v>
      </c>
      <c r="F165" t="s">
        <v>839</v>
      </c>
      <c r="G165" t="s">
        <v>1626</v>
      </c>
      <c r="H165" s="9">
        <v>208.33333333333334</v>
      </c>
      <c r="I165" s="8">
        <v>0</v>
      </c>
      <c r="J165" s="69"/>
      <c r="K165" t="s">
        <v>1626</v>
      </c>
    </row>
    <row r="166" spans="1:11" x14ac:dyDescent="0.25">
      <c r="A166" s="5" t="s">
        <v>22</v>
      </c>
      <c r="B166" t="s">
        <v>118</v>
      </c>
      <c r="C166" s="9" t="s">
        <v>1829</v>
      </c>
      <c r="D166" t="s">
        <v>723</v>
      </c>
      <c r="E166">
        <v>0</v>
      </c>
      <c r="F166" t="s">
        <v>724</v>
      </c>
      <c r="G166" t="s">
        <v>1626</v>
      </c>
      <c r="H166" s="9" t="s">
        <v>66</v>
      </c>
      <c r="I166" s="8">
        <v>0</v>
      </c>
      <c r="J166" s="69"/>
      <c r="K166" t="s">
        <v>1626</v>
      </c>
    </row>
    <row r="167" spans="1:11" x14ac:dyDescent="0.25">
      <c r="A167" s="5" t="s">
        <v>22</v>
      </c>
      <c r="B167" t="s">
        <v>118</v>
      </c>
      <c r="C167" s="9">
        <v>0.20069444444444445</v>
      </c>
      <c r="D167" t="s">
        <v>1512</v>
      </c>
      <c r="E167">
        <v>0</v>
      </c>
      <c r="F167" t="s">
        <v>1513</v>
      </c>
      <c r="G167" t="s">
        <v>1626</v>
      </c>
      <c r="H167" s="9">
        <v>2.0833333333333335</v>
      </c>
      <c r="I167" s="8">
        <v>0</v>
      </c>
      <c r="J167" s="69"/>
      <c r="K167" t="s">
        <v>1626</v>
      </c>
    </row>
    <row r="168" spans="1:11" x14ac:dyDescent="0.25">
      <c r="A168" s="5" t="s">
        <v>22</v>
      </c>
      <c r="B168" t="s">
        <v>118</v>
      </c>
      <c r="C168" s="9">
        <v>2.2840277777777778</v>
      </c>
      <c r="D168" t="s">
        <v>183</v>
      </c>
      <c r="E168">
        <v>0</v>
      </c>
      <c r="F168" t="s">
        <v>184</v>
      </c>
      <c r="G168" t="s">
        <v>1626</v>
      </c>
      <c r="H168" s="9">
        <v>4.166666666666667</v>
      </c>
      <c r="I168" s="8">
        <v>0</v>
      </c>
      <c r="J168" s="69"/>
      <c r="K168" t="s">
        <v>1626</v>
      </c>
    </row>
    <row r="169" spans="1:11" x14ac:dyDescent="0.25">
      <c r="A169" s="5" t="s">
        <v>22</v>
      </c>
      <c r="B169" t="s">
        <v>118</v>
      </c>
      <c r="C169" s="9">
        <v>35.752083333333331</v>
      </c>
      <c r="D169" t="s">
        <v>391</v>
      </c>
      <c r="E169">
        <v>0</v>
      </c>
      <c r="F169" t="s">
        <v>392</v>
      </c>
      <c r="G169" t="s">
        <v>1626</v>
      </c>
      <c r="H169" s="9">
        <v>41.666666666666664</v>
      </c>
      <c r="I169" s="8">
        <v>0</v>
      </c>
      <c r="J169" s="69"/>
      <c r="K169" t="s">
        <v>1626</v>
      </c>
    </row>
    <row r="170" spans="1:11" x14ac:dyDescent="0.25">
      <c r="A170" s="5" t="s">
        <v>22</v>
      </c>
      <c r="B170" t="s">
        <v>118</v>
      </c>
      <c r="C170" s="9">
        <v>3.6048611111111111</v>
      </c>
      <c r="D170" t="s">
        <v>175</v>
      </c>
      <c r="E170">
        <v>0</v>
      </c>
      <c r="F170" t="s">
        <v>176</v>
      </c>
      <c r="G170" t="s">
        <v>1626</v>
      </c>
      <c r="H170" s="9">
        <v>4.166666666666667</v>
      </c>
      <c r="I170" s="8">
        <v>0</v>
      </c>
      <c r="J170" s="69"/>
      <c r="K170" t="s">
        <v>1626</v>
      </c>
    </row>
    <row r="171" spans="1:11" x14ac:dyDescent="0.25">
      <c r="A171" s="5" t="s">
        <v>22</v>
      </c>
      <c r="B171" t="s">
        <v>118</v>
      </c>
      <c r="C171" s="9">
        <v>6.5854166666666663</v>
      </c>
      <c r="D171" t="s">
        <v>260</v>
      </c>
      <c r="E171">
        <v>0</v>
      </c>
      <c r="F171" t="s">
        <v>261</v>
      </c>
      <c r="G171" t="s">
        <v>1626</v>
      </c>
      <c r="H171" s="9">
        <v>12.5</v>
      </c>
      <c r="I171" s="8">
        <v>0</v>
      </c>
      <c r="J171" s="69"/>
      <c r="K171" t="s">
        <v>1626</v>
      </c>
    </row>
    <row r="172" spans="1:11" x14ac:dyDescent="0.25">
      <c r="A172" s="5" t="s">
        <v>22</v>
      </c>
      <c r="B172" t="s">
        <v>118</v>
      </c>
      <c r="C172" s="9">
        <v>1.5215277777777778</v>
      </c>
      <c r="D172" t="s">
        <v>159</v>
      </c>
      <c r="E172">
        <v>0</v>
      </c>
      <c r="F172" t="s">
        <v>160</v>
      </c>
      <c r="G172" t="s">
        <v>1626</v>
      </c>
      <c r="H172" s="9">
        <v>2.0833333333333335</v>
      </c>
      <c r="I172" s="8">
        <v>0</v>
      </c>
      <c r="J172" s="69"/>
      <c r="K172" t="s">
        <v>1626</v>
      </c>
    </row>
    <row r="173" spans="1:11" x14ac:dyDescent="0.25">
      <c r="A173" s="5" t="s">
        <v>22</v>
      </c>
      <c r="B173" t="s">
        <v>118</v>
      </c>
      <c r="C173" s="9">
        <v>44.085416666666667</v>
      </c>
      <c r="D173" t="s">
        <v>406</v>
      </c>
      <c r="E173">
        <v>0</v>
      </c>
      <c r="F173" t="s">
        <v>407</v>
      </c>
      <c r="G173" t="s">
        <v>1626</v>
      </c>
      <c r="H173" s="9">
        <v>50</v>
      </c>
      <c r="I173" s="8">
        <v>0</v>
      </c>
      <c r="J173" s="69"/>
      <c r="K173" t="s">
        <v>1626</v>
      </c>
    </row>
    <row r="174" spans="1:11" x14ac:dyDescent="0.25">
      <c r="A174" s="5" t="s">
        <v>22</v>
      </c>
      <c r="B174" t="s">
        <v>118</v>
      </c>
      <c r="C174" s="9">
        <v>44.085416666666667</v>
      </c>
      <c r="D174" t="s">
        <v>408</v>
      </c>
      <c r="E174">
        <v>0</v>
      </c>
      <c r="F174" t="s">
        <v>409</v>
      </c>
      <c r="G174" t="s">
        <v>1626</v>
      </c>
      <c r="H174" s="9">
        <v>50</v>
      </c>
      <c r="I174" s="8">
        <v>0</v>
      </c>
      <c r="J174" s="69"/>
      <c r="K174" t="s">
        <v>1626</v>
      </c>
    </row>
    <row r="175" spans="1:11" x14ac:dyDescent="0.25">
      <c r="A175" s="5" t="s">
        <v>22</v>
      </c>
      <c r="B175" t="s">
        <v>118</v>
      </c>
      <c r="C175" s="9">
        <v>44.085416666666667</v>
      </c>
      <c r="D175" t="s">
        <v>410</v>
      </c>
      <c r="E175">
        <v>0</v>
      </c>
      <c r="F175" t="s">
        <v>411</v>
      </c>
      <c r="G175" t="s">
        <v>1626</v>
      </c>
      <c r="H175" s="9">
        <v>50</v>
      </c>
      <c r="I175" s="8">
        <v>0</v>
      </c>
      <c r="J175" s="69"/>
      <c r="K175" t="s">
        <v>1626</v>
      </c>
    </row>
    <row r="176" spans="1:11" x14ac:dyDescent="0.25">
      <c r="A176" s="5" t="s">
        <v>22</v>
      </c>
      <c r="B176" t="s">
        <v>118</v>
      </c>
      <c r="C176" s="9">
        <v>2.2840277777777778</v>
      </c>
      <c r="D176" t="s">
        <v>185</v>
      </c>
      <c r="E176">
        <v>0</v>
      </c>
      <c r="F176" t="s">
        <v>186</v>
      </c>
      <c r="G176" t="s">
        <v>1626</v>
      </c>
      <c r="H176" s="9">
        <v>4.166666666666667</v>
      </c>
      <c r="I176" s="8">
        <v>0</v>
      </c>
      <c r="J176" s="69"/>
      <c r="K176" t="s">
        <v>1626</v>
      </c>
    </row>
    <row r="177" spans="1:11" x14ac:dyDescent="0.25">
      <c r="A177" s="5" t="s">
        <v>22</v>
      </c>
      <c r="B177" t="s">
        <v>118</v>
      </c>
      <c r="C177" s="9">
        <v>6.1944444444444446</v>
      </c>
      <c r="D177" t="s">
        <v>364</v>
      </c>
      <c r="E177">
        <v>0</v>
      </c>
      <c r="F177" t="s">
        <v>365</v>
      </c>
      <c r="G177" t="s">
        <v>1626</v>
      </c>
      <c r="H177" s="9">
        <v>25</v>
      </c>
      <c r="I177" s="8">
        <v>0</v>
      </c>
      <c r="J177" s="69"/>
      <c r="K177" t="s">
        <v>1626</v>
      </c>
    </row>
    <row r="178" spans="1:11" x14ac:dyDescent="0.25">
      <c r="A178" s="5" t="s">
        <v>22</v>
      </c>
      <c r="B178" t="s">
        <v>118</v>
      </c>
      <c r="C178" s="9">
        <v>44.085416666666667</v>
      </c>
      <c r="D178" t="s">
        <v>412</v>
      </c>
      <c r="E178">
        <v>0</v>
      </c>
      <c r="F178" t="s">
        <v>413</v>
      </c>
      <c r="G178" t="s">
        <v>1626</v>
      </c>
      <c r="H178" s="9">
        <v>50</v>
      </c>
      <c r="I178" s="8">
        <v>0</v>
      </c>
      <c r="J178" s="69"/>
      <c r="K178" t="s">
        <v>1626</v>
      </c>
    </row>
    <row r="179" spans="1:11" x14ac:dyDescent="0.25">
      <c r="A179" s="5" t="s">
        <v>22</v>
      </c>
      <c r="B179" t="s">
        <v>118</v>
      </c>
      <c r="C179" s="9">
        <v>27.9375</v>
      </c>
      <c r="D179" t="s">
        <v>400</v>
      </c>
      <c r="E179">
        <v>0</v>
      </c>
      <c r="F179" t="s">
        <v>401</v>
      </c>
      <c r="G179" t="s">
        <v>1626</v>
      </c>
      <c r="H179" s="9">
        <v>37.5</v>
      </c>
      <c r="I179" s="8">
        <v>0</v>
      </c>
      <c r="J179" s="69"/>
      <c r="K179" t="s">
        <v>1626</v>
      </c>
    </row>
    <row r="180" spans="1:11" x14ac:dyDescent="0.25">
      <c r="A180" s="5" t="s">
        <v>22</v>
      </c>
      <c r="B180" t="s">
        <v>118</v>
      </c>
      <c r="C180" s="9">
        <v>2.2840277777777778</v>
      </c>
      <c r="D180" t="s">
        <v>187</v>
      </c>
      <c r="E180">
        <v>0</v>
      </c>
      <c r="F180" t="s">
        <v>188</v>
      </c>
      <c r="G180" t="s">
        <v>1626</v>
      </c>
      <c r="H180" s="9">
        <v>4.166666666666667</v>
      </c>
      <c r="I180" s="8">
        <v>0</v>
      </c>
      <c r="J180" s="69"/>
      <c r="K180" t="s">
        <v>1626</v>
      </c>
    </row>
    <row r="181" spans="1:11" x14ac:dyDescent="0.25">
      <c r="A181" s="5" t="s">
        <v>22</v>
      </c>
      <c r="B181" t="s">
        <v>118</v>
      </c>
      <c r="C181" s="9">
        <v>2.2840277777777778</v>
      </c>
      <c r="D181" t="s">
        <v>205</v>
      </c>
      <c r="E181">
        <v>0</v>
      </c>
      <c r="F181" t="s">
        <v>206</v>
      </c>
      <c r="G181" t="s">
        <v>1626</v>
      </c>
      <c r="H181" s="9">
        <v>4.166666666666667</v>
      </c>
      <c r="I181" s="8">
        <v>0</v>
      </c>
      <c r="J181" s="69"/>
      <c r="K181" t="s">
        <v>1626</v>
      </c>
    </row>
    <row r="182" spans="1:11" x14ac:dyDescent="0.25">
      <c r="A182" s="5" t="s">
        <v>22</v>
      </c>
      <c r="B182" t="s">
        <v>118</v>
      </c>
      <c r="C182" s="9">
        <v>1.8166666666666667</v>
      </c>
      <c r="D182" t="s">
        <v>239</v>
      </c>
      <c r="E182">
        <v>0</v>
      </c>
      <c r="F182" t="s">
        <v>240</v>
      </c>
      <c r="G182" t="s">
        <v>1626</v>
      </c>
      <c r="H182" s="9">
        <v>8.3333333333333339</v>
      </c>
      <c r="I182" s="8">
        <v>0</v>
      </c>
      <c r="J182" s="69"/>
      <c r="K182" t="s">
        <v>1626</v>
      </c>
    </row>
    <row r="183" spans="1:11" x14ac:dyDescent="0.25">
      <c r="A183" s="5" t="s">
        <v>22</v>
      </c>
      <c r="B183" t="s">
        <v>118</v>
      </c>
      <c r="C183" s="9">
        <v>27.418749999999999</v>
      </c>
      <c r="D183" t="s">
        <v>342</v>
      </c>
      <c r="E183">
        <v>0</v>
      </c>
      <c r="F183" t="s">
        <v>343</v>
      </c>
      <c r="G183" t="s">
        <v>1626</v>
      </c>
      <c r="H183" s="9">
        <v>33.333333333333336</v>
      </c>
      <c r="I183" s="8">
        <v>0</v>
      </c>
      <c r="J183" s="69"/>
      <c r="K183" t="s">
        <v>1626</v>
      </c>
    </row>
    <row r="184" spans="1:11" x14ac:dyDescent="0.25">
      <c r="A184" s="5" t="s">
        <v>22</v>
      </c>
      <c r="B184" t="s">
        <v>118</v>
      </c>
      <c r="C184" s="9">
        <v>19.085416666666667</v>
      </c>
      <c r="D184" t="s">
        <v>354</v>
      </c>
      <c r="E184">
        <v>0</v>
      </c>
      <c r="F184" t="s">
        <v>355</v>
      </c>
      <c r="G184" t="s">
        <v>1626</v>
      </c>
      <c r="H184" s="9">
        <v>25</v>
      </c>
      <c r="I184" s="8">
        <v>0</v>
      </c>
      <c r="J184" s="69"/>
      <c r="K184" t="s">
        <v>1626</v>
      </c>
    </row>
    <row r="185" spans="1:11" x14ac:dyDescent="0.25">
      <c r="A185" s="5" t="s">
        <v>22</v>
      </c>
      <c r="B185" t="s">
        <v>118</v>
      </c>
      <c r="C185" s="9">
        <v>1.8166666666666667</v>
      </c>
      <c r="D185" t="s">
        <v>215</v>
      </c>
      <c r="E185">
        <v>0</v>
      </c>
      <c r="F185" t="s">
        <v>216</v>
      </c>
      <c r="G185" t="s">
        <v>1626</v>
      </c>
      <c r="H185" s="9">
        <v>8.3333333333333339</v>
      </c>
      <c r="I185" s="8">
        <v>0</v>
      </c>
      <c r="J185" s="69"/>
      <c r="K185" t="s">
        <v>1626</v>
      </c>
    </row>
    <row r="186" spans="1:11" x14ac:dyDescent="0.25">
      <c r="A186" s="5" t="s">
        <v>22</v>
      </c>
      <c r="B186" t="s">
        <v>118</v>
      </c>
      <c r="C186" s="9">
        <v>1.8166666666666667</v>
      </c>
      <c r="D186" t="s">
        <v>241</v>
      </c>
      <c r="E186">
        <v>0</v>
      </c>
      <c r="F186" t="s">
        <v>242</v>
      </c>
      <c r="G186" t="s">
        <v>1626</v>
      </c>
      <c r="H186" s="9">
        <v>8.3333333333333339</v>
      </c>
      <c r="I186" s="8">
        <v>0</v>
      </c>
      <c r="J186" s="69"/>
      <c r="K186" t="s">
        <v>1626</v>
      </c>
    </row>
    <row r="187" spans="1:11" x14ac:dyDescent="0.25">
      <c r="A187" s="5" t="s">
        <v>22</v>
      </c>
      <c r="B187" t="s">
        <v>118</v>
      </c>
      <c r="C187" s="9">
        <v>27.418749999999999</v>
      </c>
      <c r="D187" t="s">
        <v>344</v>
      </c>
      <c r="E187">
        <v>0</v>
      </c>
      <c r="F187" t="s">
        <v>345</v>
      </c>
      <c r="G187" t="s">
        <v>1626</v>
      </c>
      <c r="H187" s="9">
        <v>33.333333333333336</v>
      </c>
      <c r="I187" s="8">
        <v>0</v>
      </c>
      <c r="J187" s="69"/>
      <c r="K187" t="s">
        <v>1626</v>
      </c>
    </row>
    <row r="188" spans="1:11" x14ac:dyDescent="0.25">
      <c r="A188" s="5" t="s">
        <v>22</v>
      </c>
      <c r="B188" t="s">
        <v>118</v>
      </c>
      <c r="C188" s="9">
        <v>19.085416666666667</v>
      </c>
      <c r="D188" t="s">
        <v>356</v>
      </c>
      <c r="E188">
        <v>0</v>
      </c>
      <c r="F188" t="s">
        <v>357</v>
      </c>
      <c r="G188" t="s">
        <v>1626</v>
      </c>
      <c r="H188" s="9">
        <v>25</v>
      </c>
      <c r="I188" s="8">
        <v>0</v>
      </c>
      <c r="J188" s="69"/>
      <c r="K188" t="s">
        <v>1626</v>
      </c>
    </row>
    <row r="189" spans="1:11" x14ac:dyDescent="0.25">
      <c r="A189" s="5" t="s">
        <v>22</v>
      </c>
      <c r="B189" t="s">
        <v>118</v>
      </c>
      <c r="C189" s="9">
        <v>1.8166666666666667</v>
      </c>
      <c r="D189" t="s">
        <v>217</v>
      </c>
      <c r="E189">
        <v>0</v>
      </c>
      <c r="F189" t="s">
        <v>218</v>
      </c>
      <c r="G189" t="s">
        <v>1626</v>
      </c>
      <c r="H189" s="9">
        <v>8.3333333333333339</v>
      </c>
      <c r="I189" s="8">
        <v>0</v>
      </c>
      <c r="J189" s="69"/>
      <c r="K189" t="s">
        <v>1626</v>
      </c>
    </row>
    <row r="190" spans="1:11" x14ac:dyDescent="0.25">
      <c r="A190" s="5" t="s">
        <v>22</v>
      </c>
      <c r="B190" t="s">
        <v>118</v>
      </c>
      <c r="C190" s="9">
        <v>15.4375</v>
      </c>
      <c r="D190" t="s">
        <v>274</v>
      </c>
      <c r="E190">
        <v>0</v>
      </c>
      <c r="F190" t="s">
        <v>275</v>
      </c>
      <c r="G190" t="s">
        <v>1626</v>
      </c>
      <c r="H190" s="9">
        <v>25</v>
      </c>
      <c r="I190" s="8">
        <v>0</v>
      </c>
      <c r="J190" s="69"/>
      <c r="K190" t="s">
        <v>1626</v>
      </c>
    </row>
    <row r="191" spans="1:11" x14ac:dyDescent="0.25">
      <c r="A191" s="5" t="s">
        <v>22</v>
      </c>
      <c r="B191" t="s">
        <v>118</v>
      </c>
      <c r="C191" s="9">
        <v>12.572916666666666</v>
      </c>
      <c r="D191" t="s">
        <v>276</v>
      </c>
      <c r="E191">
        <v>0</v>
      </c>
      <c r="F191" t="s">
        <v>277</v>
      </c>
      <c r="G191" t="s">
        <v>1626</v>
      </c>
      <c r="H191" s="9">
        <v>25</v>
      </c>
      <c r="I191" s="8">
        <v>0</v>
      </c>
      <c r="J191" s="69"/>
      <c r="K191" t="s">
        <v>1626</v>
      </c>
    </row>
    <row r="192" spans="1:11" x14ac:dyDescent="0.25">
      <c r="A192" s="5" t="s">
        <v>22</v>
      </c>
      <c r="B192" t="s">
        <v>118</v>
      </c>
      <c r="C192" s="9">
        <v>2.2840277777777778</v>
      </c>
      <c r="D192" t="s">
        <v>189</v>
      </c>
      <c r="E192">
        <v>0</v>
      </c>
      <c r="F192" t="s">
        <v>190</v>
      </c>
      <c r="G192" t="s">
        <v>1626</v>
      </c>
      <c r="H192" s="9">
        <v>4.166666666666667</v>
      </c>
      <c r="I192" s="8">
        <v>0</v>
      </c>
      <c r="J192" s="69"/>
      <c r="K192" t="s">
        <v>1626</v>
      </c>
    </row>
    <row r="193" spans="1:11" x14ac:dyDescent="0.25">
      <c r="A193" s="5" t="s">
        <v>22</v>
      </c>
      <c r="B193" t="s">
        <v>118</v>
      </c>
      <c r="C193" s="9">
        <v>19.085416666666667</v>
      </c>
      <c r="D193" t="s">
        <v>374</v>
      </c>
      <c r="E193">
        <v>0</v>
      </c>
      <c r="F193" t="s">
        <v>375</v>
      </c>
      <c r="G193" t="s">
        <v>1626</v>
      </c>
      <c r="H193" s="9">
        <v>25</v>
      </c>
      <c r="I193" s="8">
        <v>0</v>
      </c>
      <c r="J193" s="69"/>
      <c r="K193" t="s">
        <v>1626</v>
      </c>
    </row>
    <row r="194" spans="1:11" x14ac:dyDescent="0.25">
      <c r="A194" s="5" t="s">
        <v>22</v>
      </c>
      <c r="B194" t="s">
        <v>118</v>
      </c>
      <c r="C194" s="9">
        <v>2.4527777777777779</v>
      </c>
      <c r="D194" t="s">
        <v>226</v>
      </c>
      <c r="E194">
        <v>0</v>
      </c>
      <c r="F194" t="s">
        <v>227</v>
      </c>
      <c r="G194" t="s">
        <v>1626</v>
      </c>
      <c r="H194" s="9">
        <v>6.25</v>
      </c>
      <c r="I194" s="8">
        <v>0</v>
      </c>
      <c r="J194" s="69"/>
      <c r="K194" t="s">
        <v>1626</v>
      </c>
    </row>
    <row r="195" spans="1:11" x14ac:dyDescent="0.25">
      <c r="A195" s="5" t="s">
        <v>22</v>
      </c>
      <c r="B195" t="s">
        <v>118</v>
      </c>
      <c r="C195" s="9">
        <v>5.9833333333333334</v>
      </c>
      <c r="D195" t="s">
        <v>134</v>
      </c>
      <c r="E195">
        <v>0</v>
      </c>
      <c r="F195" t="s">
        <v>135</v>
      </c>
      <c r="G195" t="s">
        <v>1626</v>
      </c>
      <c r="H195" s="9">
        <v>12.5</v>
      </c>
      <c r="I195" s="8">
        <v>0</v>
      </c>
      <c r="J195" s="69"/>
      <c r="K195" t="s">
        <v>1626</v>
      </c>
    </row>
    <row r="196" spans="1:11" x14ac:dyDescent="0.25">
      <c r="A196" s="5" t="s">
        <v>22</v>
      </c>
      <c r="B196" t="s">
        <v>118</v>
      </c>
      <c r="C196" s="9">
        <v>0.33541666666666664</v>
      </c>
      <c r="D196" t="s">
        <v>144</v>
      </c>
      <c r="E196">
        <v>0</v>
      </c>
      <c r="F196" t="s">
        <v>145</v>
      </c>
      <c r="G196" t="s">
        <v>1626</v>
      </c>
      <c r="H196" s="9">
        <v>6.25</v>
      </c>
      <c r="I196" s="8">
        <v>0</v>
      </c>
      <c r="J196" s="69"/>
      <c r="K196" t="s">
        <v>1626</v>
      </c>
    </row>
    <row r="197" spans="1:11" x14ac:dyDescent="0.25">
      <c r="A197" s="5" t="s">
        <v>22</v>
      </c>
      <c r="B197" t="s">
        <v>118</v>
      </c>
      <c r="C197" s="9">
        <v>0.33541666666666664</v>
      </c>
      <c r="D197" t="s">
        <v>146</v>
      </c>
      <c r="E197">
        <v>0</v>
      </c>
      <c r="F197" t="s">
        <v>1834</v>
      </c>
      <c r="G197" t="s">
        <v>1626</v>
      </c>
      <c r="H197" s="9">
        <v>6.25</v>
      </c>
      <c r="I197" s="8">
        <v>0</v>
      </c>
      <c r="J197" s="69"/>
      <c r="K197" t="s">
        <v>1626</v>
      </c>
    </row>
    <row r="198" spans="1:11" x14ac:dyDescent="0.25">
      <c r="A198" s="5" t="s">
        <v>22</v>
      </c>
      <c r="B198" t="s">
        <v>118</v>
      </c>
      <c r="C198" s="9">
        <v>6.5854166666666663</v>
      </c>
      <c r="D198" t="s">
        <v>262</v>
      </c>
      <c r="E198">
        <v>0</v>
      </c>
      <c r="F198" t="s">
        <v>263</v>
      </c>
      <c r="G198" t="s">
        <v>1626</v>
      </c>
      <c r="H198" s="9">
        <v>12.5</v>
      </c>
      <c r="I198" s="8">
        <v>0</v>
      </c>
      <c r="J198" s="69"/>
      <c r="K198" t="s">
        <v>1626</v>
      </c>
    </row>
    <row r="199" spans="1:11" x14ac:dyDescent="0.25">
      <c r="A199" s="5" t="s">
        <v>22</v>
      </c>
      <c r="B199" t="s">
        <v>118</v>
      </c>
      <c r="C199" s="9">
        <v>6.5854166666666663</v>
      </c>
      <c r="D199" t="s">
        <v>264</v>
      </c>
      <c r="E199">
        <v>0</v>
      </c>
      <c r="F199" t="s">
        <v>265</v>
      </c>
      <c r="G199" t="s">
        <v>1626</v>
      </c>
      <c r="H199" s="9">
        <v>12.5</v>
      </c>
      <c r="I199" s="8">
        <v>0</v>
      </c>
      <c r="J199" s="69"/>
      <c r="K199" t="s">
        <v>1626</v>
      </c>
    </row>
    <row r="200" spans="1:11" x14ac:dyDescent="0.25">
      <c r="A200" s="5" t="s">
        <v>22</v>
      </c>
      <c r="B200" t="s">
        <v>118</v>
      </c>
      <c r="C200" s="9">
        <v>25.611111111111111</v>
      </c>
      <c r="D200" t="s">
        <v>366</v>
      </c>
      <c r="E200">
        <v>0</v>
      </c>
      <c r="F200" t="s">
        <v>367</v>
      </c>
      <c r="G200" t="s">
        <v>1626</v>
      </c>
      <c r="H200" s="9">
        <v>44.416666666666664</v>
      </c>
      <c r="I200" s="8">
        <v>0</v>
      </c>
      <c r="J200" s="69"/>
      <c r="K200" t="s">
        <v>1626</v>
      </c>
    </row>
    <row r="201" spans="1:11" x14ac:dyDescent="0.25">
      <c r="A201" s="5" t="s">
        <v>22</v>
      </c>
      <c r="B201" t="s">
        <v>118</v>
      </c>
      <c r="C201" s="9">
        <v>44.085416666666667</v>
      </c>
      <c r="D201" t="s">
        <v>414</v>
      </c>
      <c r="E201">
        <v>0</v>
      </c>
      <c r="F201" t="s">
        <v>415</v>
      </c>
      <c r="G201" t="s">
        <v>1626</v>
      </c>
      <c r="H201" s="9">
        <v>50</v>
      </c>
      <c r="I201" s="8">
        <v>0</v>
      </c>
      <c r="J201" s="69"/>
      <c r="K201" t="s">
        <v>1626</v>
      </c>
    </row>
    <row r="202" spans="1:11" x14ac:dyDescent="0.25">
      <c r="A202" s="5" t="s">
        <v>22</v>
      </c>
      <c r="B202" t="s">
        <v>118</v>
      </c>
      <c r="C202" s="9">
        <v>19.085416666666667</v>
      </c>
      <c r="D202" t="s">
        <v>278</v>
      </c>
      <c r="E202">
        <v>0</v>
      </c>
      <c r="F202" t="s">
        <v>279</v>
      </c>
      <c r="G202" t="s">
        <v>1626</v>
      </c>
      <c r="H202" s="9">
        <v>25</v>
      </c>
      <c r="I202" s="8">
        <v>0</v>
      </c>
      <c r="J202" s="69"/>
      <c r="K202" t="s">
        <v>1626</v>
      </c>
    </row>
    <row r="203" spans="1:11" x14ac:dyDescent="0.25">
      <c r="A203" s="5" t="s">
        <v>22</v>
      </c>
      <c r="B203" t="s">
        <v>118</v>
      </c>
      <c r="C203" s="9">
        <v>19.085416666666667</v>
      </c>
      <c r="D203" t="s">
        <v>280</v>
      </c>
      <c r="E203">
        <v>0</v>
      </c>
      <c r="F203" t="s">
        <v>281</v>
      </c>
      <c r="G203" t="s">
        <v>1626</v>
      </c>
      <c r="H203" s="9">
        <v>25</v>
      </c>
      <c r="I203" s="8">
        <v>0</v>
      </c>
      <c r="J203" s="69"/>
      <c r="K203" t="s">
        <v>1626</v>
      </c>
    </row>
    <row r="204" spans="1:11" x14ac:dyDescent="0.25">
      <c r="A204" s="5" t="s">
        <v>22</v>
      </c>
      <c r="B204" t="s">
        <v>118</v>
      </c>
      <c r="C204" s="9">
        <v>44.085416666666667</v>
      </c>
      <c r="D204" t="s">
        <v>282</v>
      </c>
      <c r="E204">
        <v>0</v>
      </c>
      <c r="F204" t="s">
        <v>283</v>
      </c>
      <c r="G204" t="s">
        <v>1626</v>
      </c>
      <c r="H204" s="9">
        <v>50</v>
      </c>
      <c r="I204" s="8">
        <v>0</v>
      </c>
      <c r="J204" s="69"/>
      <c r="K204" t="s">
        <v>1626</v>
      </c>
    </row>
    <row r="205" spans="1:11" x14ac:dyDescent="0.25">
      <c r="A205" s="5" t="s">
        <v>22</v>
      </c>
      <c r="B205" t="s">
        <v>118</v>
      </c>
      <c r="C205" s="9">
        <v>38.502083333333331</v>
      </c>
      <c r="D205" t="s">
        <v>358</v>
      </c>
      <c r="E205">
        <v>0</v>
      </c>
      <c r="F205" t="s">
        <v>359</v>
      </c>
      <c r="G205" t="s">
        <v>1626</v>
      </c>
      <c r="H205" s="9">
        <v>44.416666666666664</v>
      </c>
      <c r="I205" s="8">
        <v>0</v>
      </c>
      <c r="J205" s="69"/>
      <c r="K205" t="s">
        <v>1626</v>
      </c>
    </row>
    <row r="206" spans="1:11" x14ac:dyDescent="0.25">
      <c r="A206" s="5" t="s">
        <v>22</v>
      </c>
      <c r="B206" t="s">
        <v>118</v>
      </c>
      <c r="C206" s="9">
        <v>10.24375</v>
      </c>
      <c r="D206" t="s">
        <v>387</v>
      </c>
      <c r="E206">
        <v>0</v>
      </c>
      <c r="F206" t="s">
        <v>388</v>
      </c>
      <c r="G206" t="s">
        <v>1626</v>
      </c>
      <c r="H206" s="9">
        <v>44.416666666666664</v>
      </c>
      <c r="I206" s="8">
        <v>0</v>
      </c>
      <c r="J206" s="69"/>
      <c r="K206" t="s">
        <v>1626</v>
      </c>
    </row>
    <row r="207" spans="1:11" x14ac:dyDescent="0.25">
      <c r="A207" s="5" t="s">
        <v>22</v>
      </c>
      <c r="B207" t="s">
        <v>118</v>
      </c>
      <c r="C207" s="9">
        <v>28.392361111111111</v>
      </c>
      <c r="D207" t="s">
        <v>272</v>
      </c>
      <c r="E207">
        <v>0</v>
      </c>
      <c r="F207" t="s">
        <v>273</v>
      </c>
      <c r="G207" t="s">
        <v>1626</v>
      </c>
      <c r="H207" s="9">
        <v>50</v>
      </c>
      <c r="I207" s="8">
        <v>0</v>
      </c>
      <c r="J207" s="69"/>
      <c r="K207" t="s">
        <v>1626</v>
      </c>
    </row>
    <row r="208" spans="1:11" x14ac:dyDescent="0.25">
      <c r="A208" s="5" t="s">
        <v>22</v>
      </c>
      <c r="B208" t="s">
        <v>118</v>
      </c>
      <c r="C208" s="9">
        <v>19.085416666666667</v>
      </c>
      <c r="D208" t="s">
        <v>284</v>
      </c>
      <c r="E208">
        <v>0</v>
      </c>
      <c r="F208" t="s">
        <v>285</v>
      </c>
      <c r="G208" t="s">
        <v>1626</v>
      </c>
      <c r="H208" s="9">
        <v>25</v>
      </c>
      <c r="I208" s="8">
        <v>0</v>
      </c>
      <c r="J208" s="69"/>
      <c r="K208" t="s">
        <v>1626</v>
      </c>
    </row>
    <row r="209" spans="1:11" x14ac:dyDescent="0.25">
      <c r="A209" s="5" t="s">
        <v>22</v>
      </c>
      <c r="B209" t="s">
        <v>118</v>
      </c>
      <c r="C209" s="9">
        <v>38.502083333333331</v>
      </c>
      <c r="D209" t="s">
        <v>286</v>
      </c>
      <c r="E209">
        <v>0</v>
      </c>
      <c r="F209" t="s">
        <v>287</v>
      </c>
      <c r="G209" t="s">
        <v>1626</v>
      </c>
      <c r="H209" s="9">
        <v>44.416666666666664</v>
      </c>
      <c r="I209" s="8">
        <v>0</v>
      </c>
      <c r="J209" s="69"/>
      <c r="K209" t="s">
        <v>1626</v>
      </c>
    </row>
    <row r="210" spans="1:11" x14ac:dyDescent="0.25">
      <c r="A210" s="5" t="s">
        <v>22</v>
      </c>
      <c r="B210" t="s">
        <v>118</v>
      </c>
      <c r="C210" s="9">
        <v>19.085416666666667</v>
      </c>
      <c r="D210" t="s">
        <v>360</v>
      </c>
      <c r="E210">
        <v>0</v>
      </c>
      <c r="F210" t="s">
        <v>361</v>
      </c>
      <c r="G210" t="s">
        <v>1626</v>
      </c>
      <c r="H210" s="9">
        <v>25</v>
      </c>
      <c r="I210" s="8">
        <v>0</v>
      </c>
      <c r="J210" s="69"/>
      <c r="K210" t="s">
        <v>1626</v>
      </c>
    </row>
    <row r="211" spans="1:11" x14ac:dyDescent="0.25">
      <c r="A211" s="5" t="s">
        <v>22</v>
      </c>
      <c r="B211" t="s">
        <v>118</v>
      </c>
      <c r="C211" s="9">
        <v>19.085416666666667</v>
      </c>
      <c r="D211" t="s">
        <v>288</v>
      </c>
      <c r="E211">
        <v>0</v>
      </c>
      <c r="F211" t="s">
        <v>289</v>
      </c>
      <c r="G211" t="s">
        <v>1626</v>
      </c>
      <c r="H211" s="9">
        <v>25</v>
      </c>
      <c r="I211" s="8">
        <v>0</v>
      </c>
      <c r="J211" s="69"/>
      <c r="K211" t="s">
        <v>1626</v>
      </c>
    </row>
    <row r="212" spans="1:11" x14ac:dyDescent="0.25">
      <c r="A212" s="5" t="s">
        <v>22</v>
      </c>
      <c r="B212" t="s">
        <v>118</v>
      </c>
      <c r="C212" s="9">
        <v>2.2840277777777778</v>
      </c>
      <c r="D212" t="s">
        <v>191</v>
      </c>
      <c r="E212">
        <v>0</v>
      </c>
      <c r="F212" t="s">
        <v>192</v>
      </c>
      <c r="G212" t="s">
        <v>1626</v>
      </c>
      <c r="H212" s="9">
        <v>4.166666666666667</v>
      </c>
      <c r="I212" s="8">
        <v>0</v>
      </c>
      <c r="J212" s="69"/>
      <c r="K212" t="s">
        <v>1626</v>
      </c>
    </row>
    <row r="213" spans="1:11" x14ac:dyDescent="0.25">
      <c r="A213" s="5" t="s">
        <v>22</v>
      </c>
      <c r="B213" t="s">
        <v>118</v>
      </c>
      <c r="C213" s="9">
        <v>38.502083333333331</v>
      </c>
      <c r="D213" t="s">
        <v>290</v>
      </c>
      <c r="E213">
        <v>0</v>
      </c>
      <c r="F213" t="s">
        <v>291</v>
      </c>
      <c r="G213" t="s">
        <v>1626</v>
      </c>
      <c r="H213" s="9">
        <v>44.416666666666664</v>
      </c>
      <c r="I213" s="8">
        <v>0</v>
      </c>
      <c r="J213" s="69"/>
      <c r="K213" t="s">
        <v>1626</v>
      </c>
    </row>
    <row r="214" spans="1:11" x14ac:dyDescent="0.25">
      <c r="A214" s="5" t="s">
        <v>22</v>
      </c>
      <c r="B214" t="s">
        <v>118</v>
      </c>
      <c r="C214" s="9">
        <v>38.502083333333331</v>
      </c>
      <c r="D214" t="s">
        <v>292</v>
      </c>
      <c r="E214">
        <v>0</v>
      </c>
      <c r="F214" t="s">
        <v>293</v>
      </c>
      <c r="G214" t="s">
        <v>1626</v>
      </c>
      <c r="H214" s="9">
        <v>44.416666666666664</v>
      </c>
      <c r="I214" s="8">
        <v>0</v>
      </c>
      <c r="J214" s="69"/>
      <c r="K214" t="s">
        <v>1626</v>
      </c>
    </row>
    <row r="215" spans="1:11" x14ac:dyDescent="0.25">
      <c r="A215" s="5" t="s">
        <v>22</v>
      </c>
      <c r="B215" t="s">
        <v>118</v>
      </c>
      <c r="C215" s="9">
        <v>44.085416666666667</v>
      </c>
      <c r="D215" t="s">
        <v>294</v>
      </c>
      <c r="E215">
        <v>0</v>
      </c>
      <c r="F215" t="s">
        <v>295</v>
      </c>
      <c r="G215" t="s">
        <v>1626</v>
      </c>
      <c r="H215" s="9">
        <v>50</v>
      </c>
      <c r="I215" s="8">
        <v>0</v>
      </c>
      <c r="J215" s="69"/>
      <c r="K215" t="s">
        <v>1626</v>
      </c>
    </row>
    <row r="216" spans="1:11" x14ac:dyDescent="0.25">
      <c r="A216" s="5" t="s">
        <v>22</v>
      </c>
      <c r="B216" t="s">
        <v>118</v>
      </c>
      <c r="C216" s="9">
        <v>19.085416666666667</v>
      </c>
      <c r="D216" t="s">
        <v>362</v>
      </c>
      <c r="E216">
        <v>0</v>
      </c>
      <c r="F216" t="s">
        <v>363</v>
      </c>
      <c r="G216" t="s">
        <v>1626</v>
      </c>
      <c r="H216" s="9">
        <v>25</v>
      </c>
      <c r="I216" s="8">
        <v>0</v>
      </c>
      <c r="J216" s="69"/>
      <c r="K216" t="s">
        <v>1626</v>
      </c>
    </row>
    <row r="217" spans="1:11" x14ac:dyDescent="0.25">
      <c r="A217" s="5" t="s">
        <v>22</v>
      </c>
      <c r="B217" t="s">
        <v>118</v>
      </c>
      <c r="C217" s="9">
        <v>19.085416666666667</v>
      </c>
      <c r="D217" t="s">
        <v>296</v>
      </c>
      <c r="E217">
        <v>0</v>
      </c>
      <c r="F217" t="s">
        <v>297</v>
      </c>
      <c r="G217" t="s">
        <v>1626</v>
      </c>
      <c r="H217" s="9">
        <v>25</v>
      </c>
      <c r="I217" s="8">
        <v>0</v>
      </c>
      <c r="J217" s="69"/>
      <c r="K217" t="s">
        <v>1626</v>
      </c>
    </row>
    <row r="218" spans="1:11" x14ac:dyDescent="0.25">
      <c r="A218" s="5" t="s">
        <v>22</v>
      </c>
      <c r="B218" t="s">
        <v>118</v>
      </c>
      <c r="C218" s="9">
        <v>19.085416666666667</v>
      </c>
      <c r="D218" t="s">
        <v>298</v>
      </c>
      <c r="E218">
        <v>0</v>
      </c>
      <c r="F218" t="s">
        <v>299</v>
      </c>
      <c r="G218" t="s">
        <v>1626</v>
      </c>
      <c r="H218" s="9">
        <v>25</v>
      </c>
      <c r="I218" s="8">
        <v>0</v>
      </c>
      <c r="J218" s="69"/>
      <c r="K218" t="s">
        <v>1626</v>
      </c>
    </row>
    <row r="219" spans="1:11" x14ac:dyDescent="0.25">
      <c r="A219" s="5" t="s">
        <v>22</v>
      </c>
      <c r="B219" t="s">
        <v>118</v>
      </c>
      <c r="C219" s="9">
        <v>19.085416666666667</v>
      </c>
      <c r="D219" t="s">
        <v>300</v>
      </c>
      <c r="E219">
        <v>0</v>
      </c>
      <c r="F219" t="s">
        <v>301</v>
      </c>
      <c r="G219" t="s">
        <v>1626</v>
      </c>
      <c r="H219" s="9">
        <v>25</v>
      </c>
      <c r="I219" s="8">
        <v>0</v>
      </c>
      <c r="J219" s="69"/>
      <c r="K219" t="s">
        <v>1626</v>
      </c>
    </row>
    <row r="220" spans="1:11" x14ac:dyDescent="0.25">
      <c r="A220" s="5" t="s">
        <v>22</v>
      </c>
      <c r="B220" t="s">
        <v>118</v>
      </c>
      <c r="C220" s="9">
        <v>19.085416666666667</v>
      </c>
      <c r="D220" t="s">
        <v>302</v>
      </c>
      <c r="E220">
        <v>0</v>
      </c>
      <c r="F220" t="s">
        <v>303</v>
      </c>
      <c r="G220" t="s">
        <v>1626</v>
      </c>
      <c r="H220" s="9">
        <v>25</v>
      </c>
      <c r="I220" s="8">
        <v>0</v>
      </c>
      <c r="J220" s="69"/>
      <c r="K220" t="s">
        <v>1626</v>
      </c>
    </row>
    <row r="221" spans="1:11" x14ac:dyDescent="0.25">
      <c r="A221" s="5" t="s">
        <v>22</v>
      </c>
      <c r="B221" t="s">
        <v>118</v>
      </c>
      <c r="C221" s="9">
        <v>19.085416666666667</v>
      </c>
      <c r="D221" t="s">
        <v>304</v>
      </c>
      <c r="E221">
        <v>0</v>
      </c>
      <c r="F221" t="s">
        <v>305</v>
      </c>
      <c r="G221" t="s">
        <v>1626</v>
      </c>
      <c r="H221" s="9">
        <v>25</v>
      </c>
      <c r="I221" s="8">
        <v>0</v>
      </c>
      <c r="J221" s="69"/>
      <c r="K221" t="s">
        <v>1626</v>
      </c>
    </row>
    <row r="222" spans="1:11" x14ac:dyDescent="0.25">
      <c r="A222" s="5" t="s">
        <v>22</v>
      </c>
      <c r="B222" t="s">
        <v>118</v>
      </c>
      <c r="C222" s="9">
        <v>19.085416666666667</v>
      </c>
      <c r="D222" t="s">
        <v>306</v>
      </c>
      <c r="E222">
        <v>0</v>
      </c>
      <c r="F222" t="s">
        <v>307</v>
      </c>
      <c r="G222" t="s">
        <v>1626</v>
      </c>
      <c r="H222" s="9">
        <v>25</v>
      </c>
      <c r="I222" s="8">
        <v>0</v>
      </c>
      <c r="J222" s="69"/>
      <c r="K222" t="s">
        <v>1626</v>
      </c>
    </row>
    <row r="223" spans="1:11" x14ac:dyDescent="0.25">
      <c r="A223" s="5" t="s">
        <v>22</v>
      </c>
      <c r="B223" t="s">
        <v>118</v>
      </c>
      <c r="C223" s="9">
        <v>19.085416666666667</v>
      </c>
      <c r="D223" t="s">
        <v>308</v>
      </c>
      <c r="E223">
        <v>0</v>
      </c>
      <c r="F223" t="s">
        <v>309</v>
      </c>
      <c r="G223" t="s">
        <v>1626</v>
      </c>
      <c r="H223" s="9">
        <v>25</v>
      </c>
      <c r="I223" s="8">
        <v>0</v>
      </c>
      <c r="J223" s="69"/>
      <c r="K223" t="s">
        <v>1626</v>
      </c>
    </row>
    <row r="224" spans="1:11" x14ac:dyDescent="0.25">
      <c r="A224" s="5" t="s">
        <v>22</v>
      </c>
      <c r="B224" t="s">
        <v>118</v>
      </c>
      <c r="C224" s="9">
        <v>2.2840277777777778</v>
      </c>
      <c r="D224" t="s">
        <v>193</v>
      </c>
      <c r="E224">
        <v>0</v>
      </c>
      <c r="F224" t="s">
        <v>194</v>
      </c>
      <c r="G224" t="s">
        <v>1626</v>
      </c>
      <c r="H224" s="9">
        <v>4.166666666666667</v>
      </c>
      <c r="I224" s="8">
        <v>0</v>
      </c>
      <c r="J224" s="69"/>
      <c r="K224" t="s">
        <v>1626</v>
      </c>
    </row>
    <row r="225" spans="1:11" x14ac:dyDescent="0.25">
      <c r="A225" s="5" t="s">
        <v>22</v>
      </c>
      <c r="B225" t="s">
        <v>118</v>
      </c>
      <c r="C225" s="9">
        <v>2.2840277777777778</v>
      </c>
      <c r="D225" t="s">
        <v>195</v>
      </c>
      <c r="E225">
        <v>0</v>
      </c>
      <c r="F225" t="s">
        <v>196</v>
      </c>
      <c r="G225" t="s">
        <v>1626</v>
      </c>
      <c r="H225" s="9">
        <v>4.166666666666667</v>
      </c>
      <c r="I225" s="8">
        <v>0</v>
      </c>
      <c r="J225" s="69"/>
      <c r="K225" t="s">
        <v>1626</v>
      </c>
    </row>
    <row r="226" spans="1:11" x14ac:dyDescent="0.25">
      <c r="A226" s="5" t="s">
        <v>22</v>
      </c>
      <c r="B226" t="s">
        <v>118</v>
      </c>
      <c r="C226" s="9">
        <v>3.71875</v>
      </c>
      <c r="D226" t="s">
        <v>207</v>
      </c>
      <c r="E226">
        <v>0</v>
      </c>
      <c r="F226" t="s">
        <v>208</v>
      </c>
      <c r="G226" t="s">
        <v>1626</v>
      </c>
      <c r="H226" s="9">
        <v>4.166666666666667</v>
      </c>
      <c r="I226" s="8">
        <v>0</v>
      </c>
      <c r="J226" s="69"/>
      <c r="K226" t="s">
        <v>1626</v>
      </c>
    </row>
    <row r="227" spans="1:11" x14ac:dyDescent="0.25">
      <c r="A227" s="5" t="s">
        <v>22</v>
      </c>
      <c r="B227" t="s">
        <v>118</v>
      </c>
      <c r="C227" s="9">
        <v>19.085416666666667</v>
      </c>
      <c r="D227" t="s">
        <v>310</v>
      </c>
      <c r="E227">
        <v>0</v>
      </c>
      <c r="F227" t="s">
        <v>311</v>
      </c>
      <c r="G227" t="s">
        <v>1626</v>
      </c>
      <c r="H227" s="9">
        <v>25</v>
      </c>
      <c r="I227" s="8">
        <v>0</v>
      </c>
      <c r="J227" s="69"/>
      <c r="K227" t="s">
        <v>1626</v>
      </c>
    </row>
    <row r="228" spans="1:11" x14ac:dyDescent="0.25">
      <c r="A228" s="5" t="s">
        <v>22</v>
      </c>
      <c r="B228" t="s">
        <v>118</v>
      </c>
      <c r="C228" s="9">
        <v>6.5854166666666663</v>
      </c>
      <c r="D228" t="s">
        <v>266</v>
      </c>
      <c r="E228">
        <v>0</v>
      </c>
      <c r="F228" t="s">
        <v>267</v>
      </c>
      <c r="G228" t="s">
        <v>1626</v>
      </c>
      <c r="H228" s="9">
        <v>12.5</v>
      </c>
      <c r="I228" s="8">
        <v>0</v>
      </c>
      <c r="J228" s="69"/>
      <c r="K228" t="s">
        <v>1626</v>
      </c>
    </row>
    <row r="229" spans="1:11" x14ac:dyDescent="0.25">
      <c r="A229" s="5" t="s">
        <v>22</v>
      </c>
      <c r="B229" t="s">
        <v>118</v>
      </c>
      <c r="C229" s="9">
        <v>18.694444444444443</v>
      </c>
      <c r="D229" t="s">
        <v>385</v>
      </c>
      <c r="E229">
        <v>0</v>
      </c>
      <c r="F229" t="s">
        <v>386</v>
      </c>
      <c r="G229" t="s">
        <v>1626</v>
      </c>
      <c r="H229" s="9">
        <v>37.5</v>
      </c>
      <c r="I229" s="8">
        <v>0</v>
      </c>
      <c r="J229" s="69"/>
      <c r="K229" t="s">
        <v>1626</v>
      </c>
    </row>
    <row r="230" spans="1:11" x14ac:dyDescent="0.25">
      <c r="A230" s="5" t="s">
        <v>22</v>
      </c>
      <c r="B230" t="s">
        <v>118</v>
      </c>
      <c r="C230" s="9">
        <v>6.5854166666666663</v>
      </c>
      <c r="D230" t="s">
        <v>136</v>
      </c>
      <c r="E230">
        <v>0</v>
      </c>
      <c r="F230" t="s">
        <v>137</v>
      </c>
      <c r="G230" t="s">
        <v>1626</v>
      </c>
      <c r="H230" s="9">
        <v>12.5</v>
      </c>
      <c r="I230" s="8">
        <v>0</v>
      </c>
      <c r="J230" s="69"/>
      <c r="K230" t="s">
        <v>1626</v>
      </c>
    </row>
    <row r="231" spans="1:11" x14ac:dyDescent="0.25">
      <c r="A231" s="5" t="s">
        <v>22</v>
      </c>
      <c r="B231" t="s">
        <v>118</v>
      </c>
      <c r="C231" s="9">
        <v>1.3229166666666667</v>
      </c>
      <c r="D231" t="s">
        <v>228</v>
      </c>
      <c r="E231">
        <v>0</v>
      </c>
      <c r="F231" t="s">
        <v>229</v>
      </c>
      <c r="G231" t="s">
        <v>1626</v>
      </c>
      <c r="H231" s="9">
        <v>6.25</v>
      </c>
      <c r="I231" s="8">
        <v>0</v>
      </c>
      <c r="J231" s="69"/>
      <c r="K231" t="s">
        <v>1626</v>
      </c>
    </row>
    <row r="232" spans="1:11" x14ac:dyDescent="0.25">
      <c r="A232" s="5" t="s">
        <v>22</v>
      </c>
      <c r="B232" t="s">
        <v>118</v>
      </c>
      <c r="C232" s="9">
        <v>19.085416666666667</v>
      </c>
      <c r="D232" t="s">
        <v>312</v>
      </c>
      <c r="E232">
        <v>0</v>
      </c>
      <c r="F232" t="s">
        <v>313</v>
      </c>
      <c r="G232" t="s">
        <v>1626</v>
      </c>
      <c r="H232" s="9">
        <v>25</v>
      </c>
      <c r="I232" s="8">
        <v>0</v>
      </c>
      <c r="J232" s="69"/>
      <c r="K232" t="s">
        <v>1626</v>
      </c>
    </row>
    <row r="233" spans="1:11" x14ac:dyDescent="0.25">
      <c r="A233" s="5" t="s">
        <v>22</v>
      </c>
      <c r="B233" t="s">
        <v>118</v>
      </c>
      <c r="C233" s="9">
        <v>24.847916666666666</v>
      </c>
      <c r="D233" t="s">
        <v>322</v>
      </c>
      <c r="E233">
        <v>0</v>
      </c>
      <c r="F233" t="s">
        <v>323</v>
      </c>
      <c r="G233" t="s">
        <v>1626</v>
      </c>
      <c r="H233" s="9">
        <v>25</v>
      </c>
      <c r="I233" s="8">
        <v>0</v>
      </c>
      <c r="J233" s="69"/>
      <c r="K233" t="s">
        <v>1626</v>
      </c>
    </row>
    <row r="234" spans="1:11" x14ac:dyDescent="0.25">
      <c r="A234" s="5" t="s">
        <v>22</v>
      </c>
      <c r="B234" t="s">
        <v>118</v>
      </c>
      <c r="C234" s="9">
        <v>12.572916666666666</v>
      </c>
      <c r="D234" t="s">
        <v>314</v>
      </c>
      <c r="E234">
        <v>0</v>
      </c>
      <c r="F234" t="s">
        <v>315</v>
      </c>
      <c r="G234" t="s">
        <v>1626</v>
      </c>
      <c r="H234" s="9">
        <v>25</v>
      </c>
      <c r="I234" s="8">
        <v>0</v>
      </c>
      <c r="J234" s="69"/>
      <c r="K234" t="s">
        <v>1626</v>
      </c>
    </row>
    <row r="235" spans="1:11" x14ac:dyDescent="0.25">
      <c r="A235" s="5" t="s">
        <v>22</v>
      </c>
      <c r="B235" t="s">
        <v>118</v>
      </c>
      <c r="C235" s="9">
        <v>12.572916666666666</v>
      </c>
      <c r="D235" t="s">
        <v>316</v>
      </c>
      <c r="E235">
        <v>0</v>
      </c>
      <c r="F235" t="s">
        <v>317</v>
      </c>
      <c r="G235" t="s">
        <v>1626</v>
      </c>
      <c r="H235" s="9">
        <v>25</v>
      </c>
      <c r="I235" s="8">
        <v>0</v>
      </c>
      <c r="J235" s="69"/>
      <c r="K235" t="s">
        <v>1626</v>
      </c>
    </row>
    <row r="236" spans="1:11" x14ac:dyDescent="0.25">
      <c r="A236" s="5" t="s">
        <v>22</v>
      </c>
      <c r="B236" t="s">
        <v>118</v>
      </c>
      <c r="C236" s="9">
        <v>2.4187500000000002</v>
      </c>
      <c r="D236" t="s">
        <v>230</v>
      </c>
      <c r="E236">
        <v>0</v>
      </c>
      <c r="F236" t="s">
        <v>231</v>
      </c>
      <c r="G236" t="s">
        <v>1626</v>
      </c>
      <c r="H236" s="9">
        <v>8.3333333333333339</v>
      </c>
      <c r="I236" s="8">
        <v>0</v>
      </c>
      <c r="J236" s="69"/>
      <c r="K236" t="s">
        <v>1626</v>
      </c>
    </row>
    <row r="237" spans="1:11" x14ac:dyDescent="0.25">
      <c r="A237" s="5" t="s">
        <v>22</v>
      </c>
      <c r="B237" t="s">
        <v>118</v>
      </c>
      <c r="C237" s="9">
        <v>6.1944444444444446</v>
      </c>
      <c r="D237" t="s">
        <v>368</v>
      </c>
      <c r="E237">
        <v>0</v>
      </c>
      <c r="F237" t="s">
        <v>369</v>
      </c>
      <c r="G237" t="s">
        <v>1626</v>
      </c>
      <c r="H237" s="9">
        <v>25</v>
      </c>
      <c r="I237" s="8">
        <v>0</v>
      </c>
      <c r="J237" s="69"/>
      <c r="K237" t="s">
        <v>1626</v>
      </c>
    </row>
    <row r="238" spans="1:11" x14ac:dyDescent="0.25">
      <c r="A238" s="5" t="s">
        <v>22</v>
      </c>
      <c r="B238" t="s">
        <v>118</v>
      </c>
      <c r="C238" s="9">
        <v>7.104166666666667</v>
      </c>
      <c r="D238" t="s">
        <v>340</v>
      </c>
      <c r="E238">
        <v>0</v>
      </c>
      <c r="F238" t="s">
        <v>341</v>
      </c>
      <c r="G238" t="s">
        <v>1626</v>
      </c>
      <c r="H238" s="9">
        <v>16.666666666666668</v>
      </c>
      <c r="I238" s="8">
        <v>0</v>
      </c>
      <c r="J238" s="69"/>
      <c r="K238" t="s">
        <v>1626</v>
      </c>
    </row>
    <row r="239" spans="1:11" x14ac:dyDescent="0.25">
      <c r="A239" s="5" t="s">
        <v>22</v>
      </c>
      <c r="B239" t="s">
        <v>118</v>
      </c>
      <c r="C239" s="9">
        <v>2.4187500000000002</v>
      </c>
      <c r="D239" t="s">
        <v>219</v>
      </c>
      <c r="E239">
        <v>0</v>
      </c>
      <c r="F239" t="s">
        <v>220</v>
      </c>
      <c r="G239" t="s">
        <v>1626</v>
      </c>
      <c r="H239" s="9">
        <v>8.3333333333333339</v>
      </c>
      <c r="I239" s="8">
        <v>0</v>
      </c>
      <c r="J239" s="69"/>
      <c r="K239" t="s">
        <v>1626</v>
      </c>
    </row>
    <row r="240" spans="1:11" x14ac:dyDescent="0.25">
      <c r="A240" s="5" t="s">
        <v>22</v>
      </c>
      <c r="B240" t="s">
        <v>118</v>
      </c>
      <c r="C240" s="9">
        <v>10.752083333333333</v>
      </c>
      <c r="D240" t="s">
        <v>213</v>
      </c>
      <c r="E240">
        <v>0</v>
      </c>
      <c r="F240" t="s">
        <v>214</v>
      </c>
      <c r="G240" t="s">
        <v>1626</v>
      </c>
      <c r="H240" s="9">
        <v>16.666666666666668</v>
      </c>
      <c r="I240" s="8">
        <v>0</v>
      </c>
      <c r="J240" s="69"/>
      <c r="K240" t="s">
        <v>1626</v>
      </c>
    </row>
    <row r="241" spans="1:11" x14ac:dyDescent="0.25">
      <c r="A241" s="5" t="s">
        <v>22</v>
      </c>
      <c r="B241" t="s">
        <v>118</v>
      </c>
      <c r="C241" s="9">
        <v>11.270833333333334</v>
      </c>
      <c r="D241" t="s">
        <v>169</v>
      </c>
      <c r="E241">
        <v>0</v>
      </c>
      <c r="F241" t="s">
        <v>170</v>
      </c>
      <c r="G241" t="s">
        <v>1626</v>
      </c>
      <c r="H241" s="9">
        <v>20.833333333333332</v>
      </c>
      <c r="I241" s="8">
        <v>0</v>
      </c>
      <c r="J241" s="69"/>
      <c r="K241" t="s">
        <v>1626</v>
      </c>
    </row>
    <row r="242" spans="1:11" x14ac:dyDescent="0.25">
      <c r="A242" s="5" t="s">
        <v>22</v>
      </c>
      <c r="B242" t="s">
        <v>118</v>
      </c>
      <c r="C242" s="9">
        <v>0.26041666666666669</v>
      </c>
      <c r="D242" t="s">
        <v>130</v>
      </c>
      <c r="E242">
        <v>0</v>
      </c>
      <c r="F242" t="s">
        <v>131</v>
      </c>
      <c r="G242" t="s">
        <v>1626</v>
      </c>
      <c r="H242" s="9">
        <v>1.0416666666666667</v>
      </c>
      <c r="I242" s="8">
        <v>0</v>
      </c>
      <c r="J242" s="69"/>
      <c r="K242" t="s">
        <v>1626</v>
      </c>
    </row>
    <row r="243" spans="1:11" x14ac:dyDescent="0.25">
      <c r="A243" s="5" t="s">
        <v>22</v>
      </c>
      <c r="B243" t="s">
        <v>118</v>
      </c>
      <c r="C243" s="9">
        <v>0.59375</v>
      </c>
      <c r="D243" t="s">
        <v>123</v>
      </c>
      <c r="E243">
        <v>0</v>
      </c>
      <c r="F243" t="s">
        <v>124</v>
      </c>
      <c r="G243" t="s">
        <v>1626</v>
      </c>
      <c r="H243" s="9">
        <v>1.0416666666666667</v>
      </c>
      <c r="I243" s="8">
        <v>0</v>
      </c>
      <c r="J243" s="69"/>
      <c r="K243" t="s">
        <v>1626</v>
      </c>
    </row>
    <row r="244" spans="1:11" x14ac:dyDescent="0.25">
      <c r="A244" s="5" t="s">
        <v>22</v>
      </c>
      <c r="B244" t="s">
        <v>118</v>
      </c>
      <c r="C244" s="9">
        <v>2.4187500000000002</v>
      </c>
      <c r="D244" t="s">
        <v>221</v>
      </c>
      <c r="E244">
        <v>0</v>
      </c>
      <c r="F244" t="s">
        <v>222</v>
      </c>
      <c r="G244" t="s">
        <v>1626</v>
      </c>
      <c r="H244" s="9">
        <v>8.3333333333333339</v>
      </c>
      <c r="I244" s="8">
        <v>0</v>
      </c>
      <c r="J244" s="69"/>
      <c r="K244" t="s">
        <v>1626</v>
      </c>
    </row>
    <row r="245" spans="1:11" x14ac:dyDescent="0.25">
      <c r="A245" s="5" t="s">
        <v>22</v>
      </c>
      <c r="B245" t="s">
        <v>118</v>
      </c>
      <c r="C245" s="9">
        <v>0.26041666666666669</v>
      </c>
      <c r="D245" t="s">
        <v>121</v>
      </c>
      <c r="E245">
        <v>0</v>
      </c>
      <c r="F245" t="s">
        <v>122</v>
      </c>
      <c r="G245" t="s">
        <v>1626</v>
      </c>
      <c r="H245" s="9">
        <v>1.0416666666666667</v>
      </c>
      <c r="I245" s="8">
        <v>0</v>
      </c>
      <c r="J245" s="69"/>
      <c r="K245" t="s">
        <v>1626</v>
      </c>
    </row>
    <row r="246" spans="1:11" x14ac:dyDescent="0.25">
      <c r="A246" s="5" t="s">
        <v>22</v>
      </c>
      <c r="B246" t="s">
        <v>118</v>
      </c>
      <c r="C246" s="9">
        <v>5.6881944444444441</v>
      </c>
      <c r="D246" t="s">
        <v>203</v>
      </c>
      <c r="E246">
        <v>0</v>
      </c>
      <c r="F246" t="s">
        <v>204</v>
      </c>
      <c r="G246" t="s">
        <v>1626</v>
      </c>
      <c r="H246" s="9">
        <v>6.25</v>
      </c>
      <c r="I246" s="8">
        <v>0</v>
      </c>
      <c r="J246" s="69"/>
      <c r="K246" t="s">
        <v>1626</v>
      </c>
    </row>
    <row r="247" spans="1:11" x14ac:dyDescent="0.25">
      <c r="A247" s="5" t="s">
        <v>22</v>
      </c>
      <c r="B247" t="s">
        <v>118</v>
      </c>
      <c r="C247" s="9">
        <v>6.5854166666666663</v>
      </c>
      <c r="D247" t="s">
        <v>225</v>
      </c>
      <c r="E247">
        <v>0</v>
      </c>
      <c r="F247" t="s">
        <v>204</v>
      </c>
      <c r="G247" t="s">
        <v>1626</v>
      </c>
      <c r="H247" s="9">
        <v>12.5</v>
      </c>
      <c r="I247" s="8">
        <v>0</v>
      </c>
      <c r="J247" s="69"/>
      <c r="K247" t="s">
        <v>1626</v>
      </c>
    </row>
    <row r="248" spans="1:11" x14ac:dyDescent="0.25">
      <c r="A248" s="5" t="s">
        <v>22</v>
      </c>
      <c r="B248" t="s">
        <v>118</v>
      </c>
      <c r="C248" s="9">
        <v>0.80694444444444446</v>
      </c>
      <c r="D248" t="s">
        <v>171</v>
      </c>
      <c r="E248">
        <v>0</v>
      </c>
      <c r="F248" t="s">
        <v>172</v>
      </c>
      <c r="G248" t="s">
        <v>1626</v>
      </c>
      <c r="H248" s="9">
        <v>2.0833333333333335</v>
      </c>
      <c r="I248" s="8">
        <v>0</v>
      </c>
      <c r="J248" s="69"/>
      <c r="K248" t="s">
        <v>1626</v>
      </c>
    </row>
    <row r="249" spans="1:11" x14ac:dyDescent="0.25">
      <c r="A249" s="5" t="s">
        <v>22</v>
      </c>
      <c r="B249" t="s">
        <v>118</v>
      </c>
      <c r="C249" s="9">
        <v>3.5534722222222221</v>
      </c>
      <c r="D249" t="s">
        <v>234</v>
      </c>
      <c r="E249">
        <v>0</v>
      </c>
      <c r="F249" t="s">
        <v>172</v>
      </c>
      <c r="G249" t="s">
        <v>1626</v>
      </c>
      <c r="H249" s="9">
        <v>6.25</v>
      </c>
      <c r="I249" s="8">
        <v>0</v>
      </c>
      <c r="J249" s="69"/>
      <c r="K249" t="s">
        <v>1626</v>
      </c>
    </row>
    <row r="250" spans="1:11" x14ac:dyDescent="0.25">
      <c r="A250" s="5" t="s">
        <v>22</v>
      </c>
      <c r="B250" t="s">
        <v>118</v>
      </c>
      <c r="C250" s="9" t="s">
        <v>1832</v>
      </c>
      <c r="D250" t="s">
        <v>656</v>
      </c>
      <c r="E250">
        <v>0</v>
      </c>
      <c r="F250" t="s">
        <v>657</v>
      </c>
      <c r="G250" t="s">
        <v>1626</v>
      </c>
      <c r="H250" s="9" t="s">
        <v>607</v>
      </c>
      <c r="I250" s="8">
        <v>0</v>
      </c>
      <c r="J250" s="69"/>
      <c r="K250" t="s">
        <v>1626</v>
      </c>
    </row>
    <row r="251" spans="1:11" x14ac:dyDescent="0.25">
      <c r="A251" s="5" t="s">
        <v>22</v>
      </c>
      <c r="B251" t="s">
        <v>118</v>
      </c>
      <c r="C251" s="9">
        <v>0.59375</v>
      </c>
      <c r="D251" t="s">
        <v>1835</v>
      </c>
      <c r="E251">
        <v>0</v>
      </c>
      <c r="F251" t="s">
        <v>1836</v>
      </c>
      <c r="G251" t="s">
        <v>1654</v>
      </c>
      <c r="H251" s="9">
        <v>1.0416666666666667</v>
      </c>
      <c r="I251" s="8">
        <v>0</v>
      </c>
      <c r="J251" s="69"/>
      <c r="K251" t="s">
        <v>1626</v>
      </c>
    </row>
    <row r="252" spans="1:11" x14ac:dyDescent="0.25">
      <c r="A252" s="5" t="s">
        <v>22</v>
      </c>
      <c r="B252" t="s">
        <v>118</v>
      </c>
      <c r="C252" s="9">
        <v>2.2840277777777778</v>
      </c>
      <c r="D252" t="s">
        <v>197</v>
      </c>
      <c r="E252">
        <v>0</v>
      </c>
      <c r="F252" t="s">
        <v>198</v>
      </c>
      <c r="G252" t="s">
        <v>1654</v>
      </c>
      <c r="H252" s="9">
        <v>4.166666666666667</v>
      </c>
      <c r="I252" s="8">
        <v>0</v>
      </c>
      <c r="J252" s="69"/>
      <c r="K252" t="s">
        <v>1626</v>
      </c>
    </row>
    <row r="253" spans="1:11" x14ac:dyDescent="0.25">
      <c r="A253" s="5" t="s">
        <v>22</v>
      </c>
      <c r="B253" t="s">
        <v>118</v>
      </c>
      <c r="C253" s="9">
        <v>2.2840277777777778</v>
      </c>
      <c r="D253" t="s">
        <v>177</v>
      </c>
      <c r="E253">
        <v>0</v>
      </c>
      <c r="F253" t="s">
        <v>178</v>
      </c>
      <c r="G253" t="s">
        <v>1654</v>
      </c>
      <c r="H253" s="9">
        <v>4.166666666666667</v>
      </c>
      <c r="I253" s="8">
        <v>0</v>
      </c>
      <c r="J253" s="69"/>
      <c r="K253" t="s">
        <v>1626</v>
      </c>
    </row>
    <row r="254" spans="1:11" x14ac:dyDescent="0.25">
      <c r="A254" s="5" t="s">
        <v>22</v>
      </c>
      <c r="B254" t="s">
        <v>118</v>
      </c>
      <c r="C254" s="9">
        <v>10.079861111111111</v>
      </c>
      <c r="D254" t="s">
        <v>268</v>
      </c>
      <c r="E254">
        <v>0</v>
      </c>
      <c r="F254" t="s">
        <v>269</v>
      </c>
      <c r="G254" t="s">
        <v>1654</v>
      </c>
      <c r="H254" s="9">
        <v>12.5</v>
      </c>
      <c r="I254" s="8">
        <v>0</v>
      </c>
      <c r="J254" s="69"/>
      <c r="K254" t="s">
        <v>1626</v>
      </c>
    </row>
    <row r="255" spans="1:11" x14ac:dyDescent="0.25">
      <c r="A255" s="5" t="s">
        <v>22</v>
      </c>
      <c r="B255" t="s">
        <v>118</v>
      </c>
      <c r="C255" s="9">
        <v>12.827083333333333</v>
      </c>
      <c r="D255" t="s">
        <v>470</v>
      </c>
      <c r="E255">
        <v>0</v>
      </c>
      <c r="F255" t="s">
        <v>471</v>
      </c>
      <c r="G255">
        <v>44</v>
      </c>
      <c r="H255" s="9">
        <v>83.333333333333329</v>
      </c>
      <c r="I255" s="8">
        <v>0</v>
      </c>
      <c r="J255" s="69"/>
      <c r="K255" t="s">
        <v>1626</v>
      </c>
    </row>
    <row r="256" spans="1:11" x14ac:dyDescent="0.25">
      <c r="A256" s="5" t="s">
        <v>22</v>
      </c>
      <c r="B256" t="s">
        <v>118</v>
      </c>
      <c r="C256" s="9">
        <v>12.827083333333333</v>
      </c>
      <c r="D256" t="s">
        <v>470</v>
      </c>
      <c r="E256">
        <v>0</v>
      </c>
      <c r="F256" t="s">
        <v>471</v>
      </c>
      <c r="G256">
        <v>18</v>
      </c>
      <c r="H256" s="9">
        <v>83.333333333333329</v>
      </c>
      <c r="I256" s="8">
        <v>0</v>
      </c>
      <c r="J256" s="69"/>
      <c r="K256" t="s">
        <v>1626</v>
      </c>
    </row>
    <row r="257" spans="1:11" x14ac:dyDescent="0.25">
      <c r="A257" s="5" t="s">
        <v>22</v>
      </c>
      <c r="B257" t="s">
        <v>118</v>
      </c>
      <c r="C257" s="9">
        <v>54.493749999999999</v>
      </c>
      <c r="D257" t="s">
        <v>420</v>
      </c>
      <c r="E257">
        <v>0</v>
      </c>
      <c r="F257" t="s">
        <v>421</v>
      </c>
      <c r="G257" t="s">
        <v>1702</v>
      </c>
      <c r="H257" s="9">
        <v>125</v>
      </c>
      <c r="I257" s="8">
        <v>0</v>
      </c>
      <c r="J257" s="69"/>
      <c r="K257" t="s">
        <v>1626</v>
      </c>
    </row>
    <row r="258" spans="1:11" x14ac:dyDescent="0.25">
      <c r="A258" s="5" t="s">
        <v>22</v>
      </c>
      <c r="B258" t="s">
        <v>118</v>
      </c>
      <c r="C258" s="9">
        <v>54.493749999999999</v>
      </c>
      <c r="D258" t="s">
        <v>420</v>
      </c>
      <c r="E258">
        <v>0</v>
      </c>
      <c r="F258" t="s">
        <v>421</v>
      </c>
      <c r="G258" t="s">
        <v>1703</v>
      </c>
      <c r="H258" s="9">
        <v>125</v>
      </c>
      <c r="I258" s="8">
        <v>0</v>
      </c>
      <c r="J258" s="69"/>
      <c r="K258" t="s">
        <v>1626</v>
      </c>
    </row>
    <row r="259" spans="1:11" x14ac:dyDescent="0.25">
      <c r="A259" s="5" t="s">
        <v>22</v>
      </c>
      <c r="B259" t="s">
        <v>118</v>
      </c>
      <c r="C259" s="9" t="s">
        <v>1832</v>
      </c>
      <c r="D259" t="s">
        <v>660</v>
      </c>
      <c r="E259">
        <v>0</v>
      </c>
      <c r="F259" t="s">
        <v>661</v>
      </c>
      <c r="G259" t="s">
        <v>1693</v>
      </c>
      <c r="H259" s="9" t="s">
        <v>607</v>
      </c>
      <c r="I259" s="8">
        <v>0</v>
      </c>
      <c r="J259" s="69"/>
      <c r="K259" t="s">
        <v>1626</v>
      </c>
    </row>
    <row r="260" spans="1:11" x14ac:dyDescent="0.25">
      <c r="A260" s="5" t="s">
        <v>22</v>
      </c>
      <c r="B260" t="s">
        <v>118</v>
      </c>
      <c r="C260" s="9">
        <v>12.827083333333333</v>
      </c>
      <c r="D260" t="s">
        <v>472</v>
      </c>
      <c r="E260">
        <v>0</v>
      </c>
      <c r="F260" t="s">
        <v>473</v>
      </c>
      <c r="G260" t="s">
        <v>1693</v>
      </c>
      <c r="H260" s="9">
        <v>83.333333333333329</v>
      </c>
      <c r="I260" s="8">
        <v>0</v>
      </c>
      <c r="J260" s="69"/>
      <c r="K260" t="s">
        <v>1626</v>
      </c>
    </row>
    <row r="261" spans="1:11" x14ac:dyDescent="0.25">
      <c r="A261" s="5" t="s">
        <v>22</v>
      </c>
      <c r="B261" t="s">
        <v>118</v>
      </c>
      <c r="C261" s="9" t="s">
        <v>1832</v>
      </c>
      <c r="D261" t="s">
        <v>660</v>
      </c>
      <c r="E261">
        <v>0</v>
      </c>
      <c r="F261" t="s">
        <v>661</v>
      </c>
      <c r="G261" t="s">
        <v>1694</v>
      </c>
      <c r="H261" s="9" t="s">
        <v>607</v>
      </c>
      <c r="I261" s="8">
        <v>0</v>
      </c>
      <c r="J261" s="69"/>
      <c r="K261" t="s">
        <v>1626</v>
      </c>
    </row>
    <row r="262" spans="1:11" x14ac:dyDescent="0.25">
      <c r="A262" s="5" t="s">
        <v>22</v>
      </c>
      <c r="B262" t="s">
        <v>118</v>
      </c>
      <c r="C262" s="9">
        <v>12.827083333333333</v>
      </c>
      <c r="D262" t="s">
        <v>472</v>
      </c>
      <c r="E262">
        <v>0</v>
      </c>
      <c r="F262" t="s">
        <v>473</v>
      </c>
      <c r="G262" t="s">
        <v>1694</v>
      </c>
      <c r="H262" s="9">
        <v>83.333333333333329</v>
      </c>
      <c r="I262" s="8">
        <v>0</v>
      </c>
      <c r="J262" s="69"/>
      <c r="K262" t="s">
        <v>1626</v>
      </c>
    </row>
    <row r="263" spans="1:11" x14ac:dyDescent="0.25">
      <c r="A263" s="5" t="s">
        <v>22</v>
      </c>
      <c r="B263" t="s">
        <v>118</v>
      </c>
      <c r="C263" s="9" t="s">
        <v>1837</v>
      </c>
      <c r="D263" t="s">
        <v>690</v>
      </c>
      <c r="E263">
        <v>0</v>
      </c>
      <c r="F263" t="s">
        <v>691</v>
      </c>
      <c r="G263" t="s">
        <v>1761</v>
      </c>
      <c r="H263" t="s">
        <v>692</v>
      </c>
      <c r="I263" s="8">
        <v>0</v>
      </c>
      <c r="J263" s="69"/>
      <c r="K263" t="s">
        <v>1626</v>
      </c>
    </row>
    <row r="264" spans="1:11" x14ac:dyDescent="0.25">
      <c r="A264" s="5" t="s">
        <v>22</v>
      </c>
      <c r="B264" t="s">
        <v>118</v>
      </c>
      <c r="C264" s="9" t="s">
        <v>1837</v>
      </c>
      <c r="D264" t="s">
        <v>693</v>
      </c>
      <c r="E264">
        <v>0</v>
      </c>
      <c r="F264" t="s">
        <v>694</v>
      </c>
      <c r="G264" t="s">
        <v>1761</v>
      </c>
      <c r="H264" t="s">
        <v>692</v>
      </c>
      <c r="I264" s="8">
        <v>0</v>
      </c>
      <c r="J264" s="69"/>
      <c r="K264" t="s">
        <v>1626</v>
      </c>
    </row>
    <row r="265" spans="1:11" x14ac:dyDescent="0.25">
      <c r="A265" s="5" t="s">
        <v>22</v>
      </c>
      <c r="B265" t="s">
        <v>118</v>
      </c>
      <c r="C265" s="9" t="s">
        <v>1837</v>
      </c>
      <c r="D265" t="s">
        <v>695</v>
      </c>
      <c r="E265">
        <v>0</v>
      </c>
      <c r="F265" t="s">
        <v>696</v>
      </c>
      <c r="G265" t="s">
        <v>1761</v>
      </c>
      <c r="H265" t="s">
        <v>692</v>
      </c>
      <c r="I265" s="8">
        <v>0</v>
      </c>
      <c r="J265" s="69"/>
      <c r="K265" t="s">
        <v>1626</v>
      </c>
    </row>
    <row r="266" spans="1:11" x14ac:dyDescent="0.25">
      <c r="A266" s="5" t="s">
        <v>22</v>
      </c>
      <c r="B266" t="s">
        <v>118</v>
      </c>
      <c r="C266" s="9" t="s">
        <v>1837</v>
      </c>
      <c r="D266" t="s">
        <v>697</v>
      </c>
      <c r="E266">
        <v>0</v>
      </c>
      <c r="F266" t="s">
        <v>698</v>
      </c>
      <c r="G266" t="s">
        <v>1701</v>
      </c>
      <c r="H266" t="s">
        <v>692</v>
      </c>
      <c r="I266" s="8">
        <v>0</v>
      </c>
      <c r="J266" s="69"/>
      <c r="K266" t="s">
        <v>1626</v>
      </c>
    </row>
    <row r="267" spans="1:11" x14ac:dyDescent="0.25">
      <c r="A267" s="5" t="s">
        <v>22</v>
      </c>
      <c r="B267" t="s">
        <v>118</v>
      </c>
      <c r="C267" s="9" t="s">
        <v>1837</v>
      </c>
      <c r="D267" t="s">
        <v>699</v>
      </c>
      <c r="E267">
        <v>0</v>
      </c>
      <c r="F267" t="s">
        <v>700</v>
      </c>
      <c r="G267" t="s">
        <v>1701</v>
      </c>
      <c r="H267" t="s">
        <v>692</v>
      </c>
      <c r="I267" s="8">
        <v>0</v>
      </c>
      <c r="J267" s="69"/>
      <c r="K267" t="s">
        <v>1626</v>
      </c>
    </row>
    <row r="268" spans="1:11" x14ac:dyDescent="0.25">
      <c r="A268" s="5" t="s">
        <v>22</v>
      </c>
      <c r="B268" t="s">
        <v>118</v>
      </c>
      <c r="C268" s="9">
        <v>50.108333333333334</v>
      </c>
      <c r="D268" t="s">
        <v>402</v>
      </c>
      <c r="E268">
        <v>0</v>
      </c>
      <c r="F268" t="s">
        <v>403</v>
      </c>
      <c r="G268" t="s">
        <v>1701</v>
      </c>
      <c r="H268" s="9">
        <v>208.33333333333334</v>
      </c>
      <c r="I268" s="8">
        <v>0</v>
      </c>
      <c r="J268" s="69"/>
      <c r="K268" t="s">
        <v>1626</v>
      </c>
    </row>
    <row r="269" spans="1:11" x14ac:dyDescent="0.25">
      <c r="A269" s="5" t="s">
        <v>22</v>
      </c>
      <c r="B269" t="s">
        <v>118</v>
      </c>
      <c r="C269" s="9">
        <v>11.223611111111111</v>
      </c>
      <c r="D269" t="s">
        <v>253</v>
      </c>
      <c r="E269">
        <v>0</v>
      </c>
      <c r="F269" t="s">
        <v>254</v>
      </c>
      <c r="G269">
        <v>3113435</v>
      </c>
      <c r="H269" s="9">
        <v>12.5</v>
      </c>
      <c r="I269" s="8">
        <v>0</v>
      </c>
      <c r="J269" s="69"/>
      <c r="K269" t="s">
        <v>1626</v>
      </c>
    </row>
    <row r="270" spans="1:11" x14ac:dyDescent="0.25">
      <c r="A270" s="5" t="s">
        <v>22</v>
      </c>
      <c r="B270" t="s">
        <v>118</v>
      </c>
      <c r="C270" s="9">
        <v>11.223611111111111</v>
      </c>
      <c r="D270" t="s">
        <v>255</v>
      </c>
      <c r="E270">
        <v>0</v>
      </c>
      <c r="F270" t="s">
        <v>256</v>
      </c>
      <c r="G270">
        <v>3113435</v>
      </c>
      <c r="H270" s="9">
        <v>12.5</v>
      </c>
      <c r="I270" s="8">
        <v>0</v>
      </c>
      <c r="J270" s="69"/>
      <c r="K270" t="s">
        <v>1626</v>
      </c>
    </row>
    <row r="271" spans="1:11" x14ac:dyDescent="0.25">
      <c r="A271" s="5" t="s">
        <v>22</v>
      </c>
      <c r="B271" t="s">
        <v>118</v>
      </c>
      <c r="C271" s="9">
        <v>6.5854166666666663</v>
      </c>
      <c r="D271" t="s">
        <v>132</v>
      </c>
      <c r="E271">
        <v>0</v>
      </c>
      <c r="F271" t="s">
        <v>133</v>
      </c>
      <c r="G271">
        <v>3113435</v>
      </c>
      <c r="H271" s="9">
        <v>12.5</v>
      </c>
      <c r="I271" s="8">
        <v>0</v>
      </c>
      <c r="J271" s="69"/>
      <c r="K271" t="s">
        <v>1626</v>
      </c>
    </row>
    <row r="272" spans="1:11" x14ac:dyDescent="0.25">
      <c r="A272" s="5" t="s">
        <v>22</v>
      </c>
      <c r="B272" t="s">
        <v>118</v>
      </c>
      <c r="C272" s="9">
        <v>6.5854166666666663</v>
      </c>
      <c r="D272" t="s">
        <v>247</v>
      </c>
      <c r="E272">
        <v>0</v>
      </c>
      <c r="F272" t="s">
        <v>248</v>
      </c>
      <c r="G272">
        <v>3113435</v>
      </c>
      <c r="H272" s="9">
        <v>12.5</v>
      </c>
      <c r="I272" s="8">
        <v>0</v>
      </c>
      <c r="J272" s="69"/>
      <c r="K272" t="s">
        <v>1626</v>
      </c>
    </row>
    <row r="273" spans="1:11" x14ac:dyDescent="0.25">
      <c r="A273" s="5" t="s">
        <v>22</v>
      </c>
      <c r="B273" t="s">
        <v>118</v>
      </c>
      <c r="C273" s="9">
        <v>63.71597222222222</v>
      </c>
      <c r="D273" t="s">
        <v>422</v>
      </c>
      <c r="E273">
        <v>0</v>
      </c>
      <c r="F273" t="s">
        <v>423</v>
      </c>
      <c r="G273" t="s">
        <v>1708</v>
      </c>
      <c r="H273" s="9">
        <v>125</v>
      </c>
      <c r="I273" s="8">
        <v>0</v>
      </c>
      <c r="J273" s="69"/>
      <c r="K273" t="s">
        <v>1626</v>
      </c>
    </row>
    <row r="274" spans="1:11" x14ac:dyDescent="0.25">
      <c r="A274" s="5" t="s">
        <v>22</v>
      </c>
      <c r="B274" t="s">
        <v>118</v>
      </c>
      <c r="C274" s="9" t="s">
        <v>1838</v>
      </c>
      <c r="D274" t="s">
        <v>832</v>
      </c>
      <c r="E274">
        <v>0</v>
      </c>
      <c r="F274" t="s">
        <v>833</v>
      </c>
      <c r="G274" t="s">
        <v>1783</v>
      </c>
      <c r="H274" t="s">
        <v>834</v>
      </c>
      <c r="I274" s="8">
        <v>0</v>
      </c>
      <c r="J274" s="69"/>
      <c r="K274" t="s">
        <v>1626</v>
      </c>
    </row>
    <row r="275" spans="1:11" x14ac:dyDescent="0.25">
      <c r="A275" s="5" t="s">
        <v>22</v>
      </c>
      <c r="B275" t="s">
        <v>118</v>
      </c>
      <c r="C275" s="9">
        <v>7.572916666666667</v>
      </c>
      <c r="D275" t="s">
        <v>253</v>
      </c>
      <c r="E275">
        <v>0</v>
      </c>
      <c r="F275" t="s">
        <v>254</v>
      </c>
      <c r="G275">
        <v>3175407</v>
      </c>
      <c r="H275" s="9">
        <v>12.5</v>
      </c>
      <c r="I275" s="8">
        <v>0</v>
      </c>
      <c r="J275" s="69"/>
      <c r="K275" t="s">
        <v>1626</v>
      </c>
    </row>
    <row r="276" spans="1:11" x14ac:dyDescent="0.25">
      <c r="A276" s="5" t="s">
        <v>22</v>
      </c>
      <c r="B276" t="s">
        <v>118</v>
      </c>
      <c r="C276" s="9">
        <v>7.572916666666667</v>
      </c>
      <c r="D276" t="s">
        <v>255</v>
      </c>
      <c r="E276">
        <v>0</v>
      </c>
      <c r="F276" t="s">
        <v>256</v>
      </c>
      <c r="G276">
        <v>3175407</v>
      </c>
      <c r="H276" s="9">
        <v>12.5</v>
      </c>
      <c r="I276" s="8">
        <v>0</v>
      </c>
      <c r="J276" s="69"/>
      <c r="K276" t="s">
        <v>1626</v>
      </c>
    </row>
    <row r="277" spans="1:11" x14ac:dyDescent="0.25">
      <c r="A277" s="5" t="s">
        <v>22</v>
      </c>
      <c r="B277" t="s">
        <v>118</v>
      </c>
      <c r="C277" s="9">
        <v>6.5854166666666663</v>
      </c>
      <c r="D277" t="s">
        <v>132</v>
      </c>
      <c r="E277">
        <v>0</v>
      </c>
      <c r="F277" t="s">
        <v>133</v>
      </c>
      <c r="G277">
        <v>3175407</v>
      </c>
      <c r="H277" s="9">
        <v>12.5</v>
      </c>
      <c r="I277" s="8">
        <v>0</v>
      </c>
      <c r="J277" s="69"/>
      <c r="K277" t="s">
        <v>1626</v>
      </c>
    </row>
    <row r="278" spans="1:11" x14ac:dyDescent="0.25">
      <c r="A278" s="5" t="s">
        <v>22</v>
      </c>
      <c r="B278" t="s">
        <v>118</v>
      </c>
      <c r="C278" s="9">
        <v>6.5854166666666663</v>
      </c>
      <c r="D278" t="s">
        <v>247</v>
      </c>
      <c r="E278">
        <v>0</v>
      </c>
      <c r="F278" t="s">
        <v>248</v>
      </c>
      <c r="G278">
        <v>3175407</v>
      </c>
      <c r="H278" s="9">
        <v>12.5</v>
      </c>
      <c r="I278" s="8">
        <v>0</v>
      </c>
      <c r="J278" s="69"/>
      <c r="K278" t="s">
        <v>1626</v>
      </c>
    </row>
    <row r="279" spans="1:11" x14ac:dyDescent="0.25">
      <c r="A279" s="5" t="s">
        <v>22</v>
      </c>
      <c r="B279" t="s">
        <v>118</v>
      </c>
      <c r="C279" s="9" t="s">
        <v>1839</v>
      </c>
      <c r="D279" t="s">
        <v>658</v>
      </c>
      <c r="E279">
        <v>0</v>
      </c>
      <c r="F279" t="s">
        <v>659</v>
      </c>
      <c r="G279" t="s">
        <v>1750</v>
      </c>
      <c r="H279" s="9" t="s">
        <v>607</v>
      </c>
      <c r="I279" s="8">
        <v>0</v>
      </c>
      <c r="J279" s="69"/>
      <c r="K279" t="s">
        <v>1626</v>
      </c>
    </row>
    <row r="280" spans="1:11" x14ac:dyDescent="0.25">
      <c r="A280" s="5" t="s">
        <v>22</v>
      </c>
      <c r="B280" t="s">
        <v>118</v>
      </c>
      <c r="C280" s="9" t="s">
        <v>1840</v>
      </c>
      <c r="D280" t="s">
        <v>712</v>
      </c>
      <c r="E280">
        <v>0</v>
      </c>
      <c r="F280" t="s">
        <v>713</v>
      </c>
      <c r="G280" t="s">
        <v>1770</v>
      </c>
      <c r="H280" s="9" t="s">
        <v>38</v>
      </c>
      <c r="I280" s="8">
        <v>0</v>
      </c>
      <c r="J280" s="69"/>
      <c r="K280" t="s">
        <v>1626</v>
      </c>
    </row>
    <row r="281" spans="1:11" x14ac:dyDescent="0.25">
      <c r="A281" s="5" t="s">
        <v>22</v>
      </c>
      <c r="B281" t="s">
        <v>118</v>
      </c>
      <c r="C281" s="9">
        <v>122.41666666666667</v>
      </c>
      <c r="D281" t="s">
        <v>455</v>
      </c>
      <c r="E281">
        <v>0</v>
      </c>
      <c r="F281" t="s">
        <v>456</v>
      </c>
      <c r="G281" t="s">
        <v>1671</v>
      </c>
      <c r="H281" s="9" t="s">
        <v>38</v>
      </c>
      <c r="I281" s="8">
        <v>0</v>
      </c>
      <c r="J281" s="69"/>
      <c r="K281" t="s">
        <v>1626</v>
      </c>
    </row>
    <row r="282" spans="1:11" x14ac:dyDescent="0.25">
      <c r="A282" s="5" t="s">
        <v>22</v>
      </c>
      <c r="B282" t="s">
        <v>118</v>
      </c>
      <c r="C282" s="9">
        <v>43.177777777777777</v>
      </c>
      <c r="D282" t="s">
        <v>393</v>
      </c>
      <c r="E282">
        <v>0</v>
      </c>
      <c r="F282" t="s">
        <v>394</v>
      </c>
      <c r="G282" t="s">
        <v>1671</v>
      </c>
      <c r="H282" s="9" t="s">
        <v>38</v>
      </c>
      <c r="I282" s="8">
        <v>0</v>
      </c>
      <c r="J282" s="69"/>
      <c r="K282" t="s">
        <v>1626</v>
      </c>
    </row>
    <row r="283" spans="1:11" x14ac:dyDescent="0.25">
      <c r="A283" s="5" t="s">
        <v>22</v>
      </c>
      <c r="B283" t="s">
        <v>118</v>
      </c>
      <c r="C283" s="9">
        <v>85.257638888888891</v>
      </c>
      <c r="D283" t="s">
        <v>466</v>
      </c>
      <c r="E283">
        <v>0</v>
      </c>
      <c r="F283" t="s">
        <v>467</v>
      </c>
      <c r="G283" t="s">
        <v>1671</v>
      </c>
      <c r="H283" s="9" t="s">
        <v>38</v>
      </c>
      <c r="I283" s="8">
        <v>0</v>
      </c>
      <c r="J283" s="69"/>
      <c r="K283" t="s">
        <v>1626</v>
      </c>
    </row>
    <row r="284" spans="1:11" x14ac:dyDescent="0.25">
      <c r="A284" s="5" t="s">
        <v>22</v>
      </c>
      <c r="B284" t="s">
        <v>118</v>
      </c>
      <c r="C284" s="9">
        <v>26.510416666666668</v>
      </c>
      <c r="D284" t="s">
        <v>346</v>
      </c>
      <c r="E284">
        <v>0</v>
      </c>
      <c r="F284" t="s">
        <v>347</v>
      </c>
      <c r="G284" t="s">
        <v>1671</v>
      </c>
      <c r="H284" s="9">
        <v>87.5</v>
      </c>
      <c r="I284" s="8">
        <v>0</v>
      </c>
      <c r="J284" s="69"/>
      <c r="K284" t="s">
        <v>1626</v>
      </c>
    </row>
    <row r="285" spans="1:11" x14ac:dyDescent="0.25">
      <c r="A285" s="5" t="s">
        <v>22</v>
      </c>
      <c r="B285" t="s">
        <v>118</v>
      </c>
      <c r="C285" s="9">
        <v>0.33541666666666664</v>
      </c>
      <c r="D285" t="s">
        <v>149</v>
      </c>
      <c r="E285">
        <v>0</v>
      </c>
      <c r="F285" t="s">
        <v>150</v>
      </c>
      <c r="G285" t="s">
        <v>1671</v>
      </c>
      <c r="H285" s="9">
        <v>6.25</v>
      </c>
      <c r="I285" s="8">
        <v>0</v>
      </c>
      <c r="J285" s="69"/>
      <c r="K285" t="s">
        <v>1626</v>
      </c>
    </row>
    <row r="286" spans="1:11" x14ac:dyDescent="0.25">
      <c r="A286" s="5" t="s">
        <v>22</v>
      </c>
      <c r="B286" t="s">
        <v>118</v>
      </c>
      <c r="C286" s="9">
        <v>19.085416666666667</v>
      </c>
      <c r="D286" t="s">
        <v>318</v>
      </c>
      <c r="E286">
        <v>0</v>
      </c>
      <c r="F286" t="s">
        <v>319</v>
      </c>
      <c r="G286" t="s">
        <v>1671</v>
      </c>
      <c r="H286" s="9">
        <v>25</v>
      </c>
      <c r="I286" s="8">
        <v>0</v>
      </c>
      <c r="J286" s="69"/>
      <c r="K286" t="s">
        <v>1626</v>
      </c>
    </row>
    <row r="287" spans="1:11" x14ac:dyDescent="0.25">
      <c r="A287" s="5" t="s">
        <v>22</v>
      </c>
      <c r="B287" t="s">
        <v>118</v>
      </c>
      <c r="C287" s="9">
        <v>330.24652777777777</v>
      </c>
      <c r="D287" t="s">
        <v>586</v>
      </c>
      <c r="E287">
        <v>0</v>
      </c>
      <c r="F287" t="s">
        <v>587</v>
      </c>
      <c r="G287" t="s">
        <v>1734</v>
      </c>
      <c r="H287" s="9" t="s">
        <v>38</v>
      </c>
      <c r="I287" s="8">
        <v>0</v>
      </c>
      <c r="J287" s="69"/>
      <c r="K287" t="s">
        <v>1626</v>
      </c>
    </row>
    <row r="288" spans="1:11" x14ac:dyDescent="0.25">
      <c r="A288" s="5" t="s">
        <v>22</v>
      </c>
      <c r="B288" t="s">
        <v>118</v>
      </c>
      <c r="C288" s="9">
        <v>330.24652777777777</v>
      </c>
      <c r="D288" t="s">
        <v>588</v>
      </c>
      <c r="E288">
        <v>0</v>
      </c>
      <c r="F288" t="s">
        <v>589</v>
      </c>
      <c r="G288" t="s">
        <v>1734</v>
      </c>
      <c r="H288" s="9" t="s">
        <v>38</v>
      </c>
      <c r="I288" s="8">
        <v>0</v>
      </c>
      <c r="J288" s="69"/>
      <c r="K288" t="s">
        <v>1626</v>
      </c>
    </row>
    <row r="289" spans="1:11" x14ac:dyDescent="0.25">
      <c r="A289" s="5" t="s">
        <v>22</v>
      </c>
      <c r="B289" t="s">
        <v>118</v>
      </c>
      <c r="C289" s="9" t="s">
        <v>1841</v>
      </c>
      <c r="D289" t="s">
        <v>763</v>
      </c>
      <c r="E289">
        <v>0</v>
      </c>
      <c r="F289" t="s">
        <v>764</v>
      </c>
      <c r="G289" t="s">
        <v>1734</v>
      </c>
      <c r="H289" s="9" t="s">
        <v>38</v>
      </c>
      <c r="I289" s="8">
        <v>0</v>
      </c>
      <c r="J289" s="69"/>
      <c r="K289" t="s">
        <v>1626</v>
      </c>
    </row>
    <row r="290" spans="1:11" x14ac:dyDescent="0.25">
      <c r="A290" s="5" t="s">
        <v>22</v>
      </c>
      <c r="B290" t="s">
        <v>118</v>
      </c>
      <c r="C290" s="9">
        <v>378.80902777777777</v>
      </c>
      <c r="D290" t="s">
        <v>590</v>
      </c>
      <c r="E290">
        <v>0</v>
      </c>
      <c r="F290" t="s">
        <v>591</v>
      </c>
      <c r="G290" t="s">
        <v>1734</v>
      </c>
      <c r="H290" s="9" t="s">
        <v>38</v>
      </c>
      <c r="I290" s="8">
        <v>0</v>
      </c>
      <c r="J290" s="69"/>
      <c r="K290" t="s">
        <v>1626</v>
      </c>
    </row>
    <row r="291" spans="1:11" x14ac:dyDescent="0.25">
      <c r="A291" s="5" t="s">
        <v>22</v>
      </c>
      <c r="B291" t="s">
        <v>118</v>
      </c>
      <c r="C291" s="9">
        <v>330.24652777777777</v>
      </c>
      <c r="D291" t="s">
        <v>586</v>
      </c>
      <c r="E291">
        <v>0</v>
      </c>
      <c r="F291" t="s">
        <v>587</v>
      </c>
      <c r="G291" t="s">
        <v>1735</v>
      </c>
      <c r="H291" s="9" t="s">
        <v>38</v>
      </c>
      <c r="I291" s="8">
        <v>0</v>
      </c>
      <c r="J291" s="69"/>
      <c r="K291" t="s">
        <v>1626</v>
      </c>
    </row>
    <row r="292" spans="1:11" x14ac:dyDescent="0.25">
      <c r="A292" s="5" t="s">
        <v>22</v>
      </c>
      <c r="B292" t="s">
        <v>118</v>
      </c>
      <c r="C292" s="9">
        <v>330.24652777777777</v>
      </c>
      <c r="D292" t="s">
        <v>588</v>
      </c>
      <c r="E292">
        <v>0</v>
      </c>
      <c r="F292" t="s">
        <v>589</v>
      </c>
      <c r="G292" t="s">
        <v>1735</v>
      </c>
      <c r="H292" s="9" t="s">
        <v>38</v>
      </c>
      <c r="I292" s="8">
        <v>0</v>
      </c>
      <c r="J292" s="69"/>
      <c r="K292" t="s">
        <v>1626</v>
      </c>
    </row>
    <row r="293" spans="1:11" x14ac:dyDescent="0.25">
      <c r="A293" s="5" t="s">
        <v>22</v>
      </c>
      <c r="B293" t="s">
        <v>118</v>
      </c>
      <c r="C293" s="9" t="s">
        <v>1841</v>
      </c>
      <c r="D293" t="s">
        <v>763</v>
      </c>
      <c r="E293">
        <v>0</v>
      </c>
      <c r="F293" t="s">
        <v>764</v>
      </c>
      <c r="G293" t="s">
        <v>1735</v>
      </c>
      <c r="H293" s="9" t="s">
        <v>38</v>
      </c>
      <c r="I293" s="8">
        <v>0</v>
      </c>
      <c r="J293" s="69"/>
      <c r="K293" t="s">
        <v>1626</v>
      </c>
    </row>
    <row r="294" spans="1:11" x14ac:dyDescent="0.25">
      <c r="A294" s="5" t="s">
        <v>22</v>
      </c>
      <c r="B294" t="s">
        <v>118</v>
      </c>
      <c r="C294" s="9">
        <v>330.24652777777777</v>
      </c>
      <c r="D294" t="s">
        <v>590</v>
      </c>
      <c r="E294">
        <v>0</v>
      </c>
      <c r="F294" t="s">
        <v>591</v>
      </c>
      <c r="G294" t="s">
        <v>1735</v>
      </c>
      <c r="H294" s="9" t="s">
        <v>38</v>
      </c>
      <c r="I294" s="8">
        <v>0</v>
      </c>
      <c r="J294" s="69"/>
      <c r="K294" t="s">
        <v>1626</v>
      </c>
    </row>
    <row r="295" spans="1:11" x14ac:dyDescent="0.25">
      <c r="A295" s="5" t="s">
        <v>22</v>
      </c>
      <c r="B295" t="s">
        <v>118</v>
      </c>
      <c r="C295" s="9">
        <v>330.24652777777777</v>
      </c>
      <c r="D295" t="s">
        <v>586</v>
      </c>
      <c r="E295">
        <v>0</v>
      </c>
      <c r="F295" t="s">
        <v>587</v>
      </c>
      <c r="G295" t="s">
        <v>1736</v>
      </c>
      <c r="H295" t="s">
        <v>38</v>
      </c>
      <c r="I295" s="8">
        <v>0</v>
      </c>
      <c r="J295" s="69"/>
      <c r="K295" t="s">
        <v>1626</v>
      </c>
    </row>
    <row r="296" spans="1:11" x14ac:dyDescent="0.25">
      <c r="A296" s="5" t="s">
        <v>22</v>
      </c>
      <c r="B296" t="s">
        <v>118</v>
      </c>
      <c r="C296" s="9">
        <v>330.24652777777777</v>
      </c>
      <c r="D296" t="s">
        <v>588</v>
      </c>
      <c r="E296">
        <v>0</v>
      </c>
      <c r="F296" t="s">
        <v>589</v>
      </c>
      <c r="G296" t="s">
        <v>1736</v>
      </c>
      <c r="H296" t="s">
        <v>38</v>
      </c>
      <c r="I296" s="8">
        <v>0</v>
      </c>
      <c r="J296" s="69"/>
      <c r="K296" t="s">
        <v>1626</v>
      </c>
    </row>
    <row r="297" spans="1:11" x14ac:dyDescent="0.25">
      <c r="A297" s="5" t="s">
        <v>22</v>
      </c>
      <c r="B297" t="s">
        <v>118</v>
      </c>
      <c r="C297" s="9" t="s">
        <v>1842</v>
      </c>
      <c r="D297" t="s">
        <v>763</v>
      </c>
      <c r="E297">
        <v>0</v>
      </c>
      <c r="F297" t="s">
        <v>764</v>
      </c>
      <c r="G297" t="s">
        <v>1736</v>
      </c>
      <c r="H297" s="9" t="s">
        <v>38</v>
      </c>
      <c r="I297" s="8">
        <v>0</v>
      </c>
      <c r="J297" s="69"/>
      <c r="K297" t="s">
        <v>1626</v>
      </c>
    </row>
    <row r="298" spans="1:11" x14ac:dyDescent="0.25">
      <c r="A298" s="5" t="s">
        <v>22</v>
      </c>
      <c r="B298" t="s">
        <v>118</v>
      </c>
      <c r="C298" s="9">
        <v>378.80902777777777</v>
      </c>
      <c r="D298" t="s">
        <v>590</v>
      </c>
      <c r="E298">
        <v>0</v>
      </c>
      <c r="F298" t="s">
        <v>591</v>
      </c>
      <c r="G298" t="s">
        <v>1736</v>
      </c>
      <c r="H298" s="9" t="s">
        <v>38</v>
      </c>
      <c r="I298" s="8">
        <v>0</v>
      </c>
      <c r="J298" s="69"/>
      <c r="K298" t="s">
        <v>1626</v>
      </c>
    </row>
    <row r="299" spans="1:11" x14ac:dyDescent="0.25">
      <c r="A299" s="5" t="s">
        <v>22</v>
      </c>
      <c r="B299" t="s">
        <v>118</v>
      </c>
      <c r="C299" s="9">
        <v>330.24652777777777</v>
      </c>
      <c r="D299" t="s">
        <v>586</v>
      </c>
      <c r="E299">
        <v>0</v>
      </c>
      <c r="F299" t="s">
        <v>587</v>
      </c>
      <c r="G299" t="s">
        <v>1737</v>
      </c>
      <c r="H299" t="s">
        <v>38</v>
      </c>
      <c r="I299" s="8">
        <v>0</v>
      </c>
      <c r="J299" s="69"/>
      <c r="K299" t="s">
        <v>1626</v>
      </c>
    </row>
    <row r="300" spans="1:11" x14ac:dyDescent="0.25">
      <c r="A300" s="5" t="s">
        <v>22</v>
      </c>
      <c r="B300" t="s">
        <v>118</v>
      </c>
      <c r="C300" s="9">
        <v>330.24652777777777</v>
      </c>
      <c r="D300" t="s">
        <v>588</v>
      </c>
      <c r="E300">
        <v>0</v>
      </c>
      <c r="F300" t="s">
        <v>589</v>
      </c>
      <c r="G300" t="s">
        <v>1737</v>
      </c>
      <c r="H300" s="9" t="s">
        <v>38</v>
      </c>
      <c r="I300" s="8">
        <v>0</v>
      </c>
      <c r="J300" s="69"/>
      <c r="K300" t="s">
        <v>1626</v>
      </c>
    </row>
    <row r="301" spans="1:11" x14ac:dyDescent="0.25">
      <c r="A301" s="5" t="s">
        <v>22</v>
      </c>
      <c r="B301" t="s">
        <v>118</v>
      </c>
      <c r="C301" s="9" t="s">
        <v>1841</v>
      </c>
      <c r="D301" t="s">
        <v>763</v>
      </c>
      <c r="E301">
        <v>0</v>
      </c>
      <c r="F301" t="s">
        <v>764</v>
      </c>
      <c r="G301" t="s">
        <v>1737</v>
      </c>
      <c r="H301" s="9" t="s">
        <v>38</v>
      </c>
      <c r="I301" s="8">
        <v>0</v>
      </c>
      <c r="J301" s="69"/>
      <c r="K301" t="s">
        <v>1626</v>
      </c>
    </row>
    <row r="302" spans="1:11" x14ac:dyDescent="0.25">
      <c r="A302" s="5" t="s">
        <v>22</v>
      </c>
      <c r="B302" t="s">
        <v>118</v>
      </c>
      <c r="C302" s="9">
        <v>330.24652777777777</v>
      </c>
      <c r="D302" t="s">
        <v>590</v>
      </c>
      <c r="E302">
        <v>0</v>
      </c>
      <c r="F302" t="s">
        <v>591</v>
      </c>
      <c r="G302" t="s">
        <v>1737</v>
      </c>
      <c r="H302" s="9" t="s">
        <v>38</v>
      </c>
      <c r="I302" s="8">
        <v>0</v>
      </c>
      <c r="J302" s="69"/>
      <c r="K302" t="s">
        <v>1626</v>
      </c>
    </row>
    <row r="303" spans="1:11" x14ac:dyDescent="0.25">
      <c r="A303" s="5" t="s">
        <v>22</v>
      </c>
      <c r="B303" t="s">
        <v>118</v>
      </c>
      <c r="C303" s="9">
        <v>12.827083333333333</v>
      </c>
      <c r="D303" t="s">
        <v>480</v>
      </c>
      <c r="E303">
        <v>0</v>
      </c>
      <c r="F303" t="s">
        <v>481</v>
      </c>
      <c r="G303" t="s">
        <v>1695</v>
      </c>
      <c r="H303" s="9">
        <v>83.333333333333329</v>
      </c>
      <c r="I303" s="8">
        <v>0</v>
      </c>
      <c r="J303" s="69"/>
      <c r="K303" t="s">
        <v>1626</v>
      </c>
    </row>
    <row r="304" spans="1:11" x14ac:dyDescent="0.25">
      <c r="A304" s="5" t="s">
        <v>22</v>
      </c>
      <c r="B304" t="s">
        <v>118</v>
      </c>
      <c r="C304" s="9">
        <v>12.827083333333333</v>
      </c>
      <c r="D304" t="s">
        <v>474</v>
      </c>
      <c r="E304">
        <v>0</v>
      </c>
      <c r="F304" t="s">
        <v>475</v>
      </c>
      <c r="G304" t="s">
        <v>1696</v>
      </c>
      <c r="H304" s="9">
        <v>83.333333333333329</v>
      </c>
      <c r="I304" s="8">
        <v>0</v>
      </c>
      <c r="J304" s="69"/>
      <c r="K304" t="s">
        <v>1626</v>
      </c>
    </row>
    <row r="305" spans="1:11" x14ac:dyDescent="0.25">
      <c r="A305" s="5" t="s">
        <v>22</v>
      </c>
      <c r="B305" t="s">
        <v>118</v>
      </c>
      <c r="C305" s="9">
        <v>12.827083333333333</v>
      </c>
      <c r="D305" t="s">
        <v>482</v>
      </c>
      <c r="E305">
        <v>0</v>
      </c>
      <c r="F305" t="s">
        <v>483</v>
      </c>
      <c r="G305" t="s">
        <v>1697</v>
      </c>
      <c r="H305" s="9">
        <v>83.333333333333329</v>
      </c>
      <c r="I305" s="8">
        <v>0</v>
      </c>
      <c r="J305" s="69"/>
      <c r="K305" t="s">
        <v>1626</v>
      </c>
    </row>
    <row r="306" spans="1:11" x14ac:dyDescent="0.25">
      <c r="A306" s="5" t="s">
        <v>22</v>
      </c>
      <c r="B306" t="s">
        <v>118</v>
      </c>
      <c r="C306" s="9" t="s">
        <v>1843</v>
      </c>
      <c r="D306" t="s">
        <v>885</v>
      </c>
      <c r="E306">
        <v>0</v>
      </c>
      <c r="F306" t="s">
        <v>848</v>
      </c>
      <c r="G306" t="s">
        <v>1664</v>
      </c>
      <c r="H306" s="9" t="s">
        <v>66</v>
      </c>
      <c r="I306" s="8">
        <v>0</v>
      </c>
      <c r="J306" s="69"/>
      <c r="K306" t="s">
        <v>1626</v>
      </c>
    </row>
    <row r="307" spans="1:11" x14ac:dyDescent="0.25">
      <c r="A307" s="5" t="s">
        <v>22</v>
      </c>
      <c r="B307" t="s">
        <v>118</v>
      </c>
      <c r="C307" s="9" t="s">
        <v>1843</v>
      </c>
      <c r="D307" t="s">
        <v>847</v>
      </c>
      <c r="E307">
        <v>0</v>
      </c>
      <c r="F307" t="s">
        <v>848</v>
      </c>
      <c r="G307" t="s">
        <v>1664</v>
      </c>
      <c r="H307" s="9" t="s">
        <v>66</v>
      </c>
      <c r="I307" s="8">
        <v>0</v>
      </c>
      <c r="J307" s="69"/>
      <c r="K307" t="s">
        <v>1626</v>
      </c>
    </row>
    <row r="308" spans="1:11" x14ac:dyDescent="0.25">
      <c r="A308" s="5" t="s">
        <v>22</v>
      </c>
      <c r="B308" t="s">
        <v>118</v>
      </c>
      <c r="C308" s="9" t="s">
        <v>1843</v>
      </c>
      <c r="D308" t="s">
        <v>849</v>
      </c>
      <c r="E308">
        <v>0</v>
      </c>
      <c r="F308" t="s">
        <v>850</v>
      </c>
      <c r="G308" t="s">
        <v>1664</v>
      </c>
      <c r="H308" s="9" t="s">
        <v>66</v>
      </c>
      <c r="I308" s="8">
        <v>0</v>
      </c>
      <c r="J308" s="69"/>
      <c r="K308" t="s">
        <v>1626</v>
      </c>
    </row>
    <row r="309" spans="1:11" x14ac:dyDescent="0.25">
      <c r="A309" s="5" t="s">
        <v>22</v>
      </c>
      <c r="B309" t="s">
        <v>118</v>
      </c>
      <c r="C309" s="9" t="s">
        <v>1843</v>
      </c>
      <c r="D309" t="s">
        <v>851</v>
      </c>
      <c r="E309">
        <v>0</v>
      </c>
      <c r="F309" t="s">
        <v>852</v>
      </c>
      <c r="G309" t="s">
        <v>1664</v>
      </c>
      <c r="H309" s="9" t="s">
        <v>66</v>
      </c>
      <c r="I309" s="8">
        <v>0</v>
      </c>
      <c r="J309" s="69"/>
      <c r="K309" t="s">
        <v>1626</v>
      </c>
    </row>
    <row r="310" spans="1:11" x14ac:dyDescent="0.25">
      <c r="A310" s="5" t="s">
        <v>22</v>
      </c>
      <c r="B310" t="s">
        <v>118</v>
      </c>
      <c r="C310" s="9" t="s">
        <v>1844</v>
      </c>
      <c r="D310" t="s">
        <v>765</v>
      </c>
      <c r="E310">
        <v>0</v>
      </c>
      <c r="F310" t="s">
        <v>766</v>
      </c>
      <c r="G310" t="s">
        <v>1664</v>
      </c>
      <c r="H310" s="9">
        <v>291.66666666666669</v>
      </c>
      <c r="I310" s="8">
        <v>0</v>
      </c>
      <c r="J310" s="69"/>
      <c r="K310" t="s">
        <v>1626</v>
      </c>
    </row>
    <row r="311" spans="1:11" x14ac:dyDescent="0.25">
      <c r="A311" s="5" t="s">
        <v>22</v>
      </c>
      <c r="B311" t="s">
        <v>118</v>
      </c>
      <c r="C311" s="9" t="s">
        <v>1845</v>
      </c>
      <c r="D311" t="s">
        <v>840</v>
      </c>
      <c r="E311">
        <v>0</v>
      </c>
      <c r="F311" t="s">
        <v>841</v>
      </c>
      <c r="G311" t="s">
        <v>1664</v>
      </c>
      <c r="H311" s="9">
        <v>291.66666666666669</v>
      </c>
      <c r="I311" s="8">
        <v>0</v>
      </c>
      <c r="J311" s="69"/>
      <c r="K311" t="s">
        <v>1626</v>
      </c>
    </row>
    <row r="312" spans="1:11" x14ac:dyDescent="0.25">
      <c r="A312" s="5" t="s">
        <v>22</v>
      </c>
      <c r="B312" t="s">
        <v>118</v>
      </c>
      <c r="C312" s="9" t="s">
        <v>1843</v>
      </c>
      <c r="D312" t="s">
        <v>853</v>
      </c>
      <c r="E312">
        <v>0</v>
      </c>
      <c r="F312" t="s">
        <v>854</v>
      </c>
      <c r="G312" t="s">
        <v>1664</v>
      </c>
      <c r="H312" s="9" t="s">
        <v>66</v>
      </c>
      <c r="I312" s="8">
        <v>0</v>
      </c>
      <c r="J312" s="69"/>
      <c r="K312" t="s">
        <v>1626</v>
      </c>
    </row>
    <row r="313" spans="1:11" x14ac:dyDescent="0.25">
      <c r="A313" s="5" t="s">
        <v>22</v>
      </c>
      <c r="B313" t="s">
        <v>118</v>
      </c>
      <c r="C313" s="9" t="s">
        <v>1843</v>
      </c>
      <c r="D313" t="s">
        <v>855</v>
      </c>
      <c r="E313">
        <v>0</v>
      </c>
      <c r="F313" t="s">
        <v>848</v>
      </c>
      <c r="G313" t="s">
        <v>1664</v>
      </c>
      <c r="H313" s="9" t="s">
        <v>66</v>
      </c>
      <c r="I313" s="8">
        <v>0</v>
      </c>
      <c r="J313" s="69"/>
      <c r="K313" t="s">
        <v>1626</v>
      </c>
    </row>
    <row r="314" spans="1:11" x14ac:dyDescent="0.25">
      <c r="A314" s="5" t="s">
        <v>22</v>
      </c>
      <c r="B314" t="s">
        <v>118</v>
      </c>
      <c r="C314" s="9" t="s">
        <v>1846</v>
      </c>
      <c r="D314" t="s">
        <v>761</v>
      </c>
      <c r="E314">
        <v>0</v>
      </c>
      <c r="F314" t="s">
        <v>762</v>
      </c>
      <c r="G314" t="s">
        <v>1664</v>
      </c>
      <c r="H314" s="9">
        <v>190.83333333333334</v>
      </c>
      <c r="I314" s="8">
        <v>0</v>
      </c>
      <c r="J314" s="69"/>
      <c r="K314" t="s">
        <v>1626</v>
      </c>
    </row>
    <row r="315" spans="1:11" x14ac:dyDescent="0.25">
      <c r="A315" s="5" t="s">
        <v>22</v>
      </c>
      <c r="B315" t="s">
        <v>118</v>
      </c>
      <c r="C315" s="9" t="s">
        <v>1847</v>
      </c>
      <c r="D315" t="s">
        <v>785</v>
      </c>
      <c r="E315">
        <v>0</v>
      </c>
      <c r="F315" t="s">
        <v>786</v>
      </c>
      <c r="G315" t="s">
        <v>1664</v>
      </c>
      <c r="H315" s="9" t="s">
        <v>787</v>
      </c>
      <c r="I315" s="8">
        <v>0</v>
      </c>
      <c r="J315" s="69"/>
      <c r="K315" t="s">
        <v>1626</v>
      </c>
    </row>
    <row r="316" spans="1:11" x14ac:dyDescent="0.25">
      <c r="A316" s="5" t="s">
        <v>22</v>
      </c>
      <c r="B316" t="s">
        <v>118</v>
      </c>
      <c r="C316" s="9" t="s">
        <v>1843</v>
      </c>
      <c r="D316" t="s">
        <v>856</v>
      </c>
      <c r="E316">
        <v>0</v>
      </c>
      <c r="F316" t="s">
        <v>857</v>
      </c>
      <c r="G316" t="s">
        <v>1664</v>
      </c>
      <c r="H316" s="9" t="s">
        <v>66</v>
      </c>
      <c r="I316" s="8">
        <v>0</v>
      </c>
      <c r="J316" s="69"/>
      <c r="K316" t="s">
        <v>1626</v>
      </c>
    </row>
    <row r="317" spans="1:11" x14ac:dyDescent="0.25">
      <c r="A317" s="5" t="s">
        <v>22</v>
      </c>
      <c r="B317" t="s">
        <v>118</v>
      </c>
      <c r="C317" s="9" t="s">
        <v>1843</v>
      </c>
      <c r="D317" t="s">
        <v>858</v>
      </c>
      <c r="E317">
        <v>0</v>
      </c>
      <c r="F317" t="s">
        <v>859</v>
      </c>
      <c r="G317" t="s">
        <v>1664</v>
      </c>
      <c r="H317" s="9" t="s">
        <v>66</v>
      </c>
      <c r="I317" s="8">
        <v>0</v>
      </c>
      <c r="J317" s="69"/>
      <c r="K317" t="s">
        <v>1626</v>
      </c>
    </row>
    <row r="318" spans="1:11" x14ac:dyDescent="0.25">
      <c r="A318" s="5" t="s">
        <v>22</v>
      </c>
      <c r="B318" t="s">
        <v>118</v>
      </c>
      <c r="C318" s="9" t="s">
        <v>1843</v>
      </c>
      <c r="D318" t="s">
        <v>860</v>
      </c>
      <c r="E318">
        <v>0</v>
      </c>
      <c r="F318" t="s">
        <v>861</v>
      </c>
      <c r="G318" t="s">
        <v>1664</v>
      </c>
      <c r="H318" s="9" t="s">
        <v>66</v>
      </c>
      <c r="I318" s="8">
        <v>0</v>
      </c>
      <c r="J318" s="69"/>
      <c r="K318" t="s">
        <v>1626</v>
      </c>
    </row>
    <row r="319" spans="1:11" x14ac:dyDescent="0.25">
      <c r="A319" s="5" t="s">
        <v>22</v>
      </c>
      <c r="B319" t="s">
        <v>118</v>
      </c>
      <c r="C319" s="9" t="s">
        <v>1843</v>
      </c>
      <c r="D319" t="s">
        <v>862</v>
      </c>
      <c r="E319">
        <v>0</v>
      </c>
      <c r="F319" t="s">
        <v>863</v>
      </c>
      <c r="G319" t="s">
        <v>1664</v>
      </c>
      <c r="H319" s="9" t="s">
        <v>66</v>
      </c>
      <c r="I319" s="8">
        <v>0</v>
      </c>
      <c r="J319" s="69"/>
      <c r="K319" t="s">
        <v>1626</v>
      </c>
    </row>
    <row r="320" spans="1:11" x14ac:dyDescent="0.25">
      <c r="A320" s="5" t="s">
        <v>22</v>
      </c>
      <c r="B320" t="s">
        <v>118</v>
      </c>
      <c r="C320" s="9" t="s">
        <v>1843</v>
      </c>
      <c r="D320" t="s">
        <v>864</v>
      </c>
      <c r="E320">
        <v>0</v>
      </c>
      <c r="F320" t="s">
        <v>865</v>
      </c>
      <c r="G320" t="s">
        <v>1664</v>
      </c>
      <c r="H320" s="9" t="s">
        <v>66</v>
      </c>
      <c r="I320" s="8">
        <v>0</v>
      </c>
      <c r="J320" s="69"/>
      <c r="K320" t="s">
        <v>1626</v>
      </c>
    </row>
    <row r="321" spans="1:11" x14ac:dyDescent="0.25">
      <c r="A321" s="5" t="s">
        <v>22</v>
      </c>
      <c r="B321" t="s">
        <v>118</v>
      </c>
      <c r="C321" s="9" t="s">
        <v>1843</v>
      </c>
      <c r="D321" t="s">
        <v>866</v>
      </c>
      <c r="E321">
        <v>0</v>
      </c>
      <c r="F321" t="s">
        <v>867</v>
      </c>
      <c r="G321" t="s">
        <v>1664</v>
      </c>
      <c r="H321" s="9" t="s">
        <v>66</v>
      </c>
      <c r="I321" s="8">
        <v>0</v>
      </c>
      <c r="J321" s="69"/>
      <c r="K321" t="s">
        <v>1626</v>
      </c>
    </row>
    <row r="322" spans="1:11" x14ac:dyDescent="0.25">
      <c r="A322" s="5" t="s">
        <v>22</v>
      </c>
      <c r="B322" t="s">
        <v>118</v>
      </c>
      <c r="C322" s="9" t="s">
        <v>1843</v>
      </c>
      <c r="D322" t="s">
        <v>886</v>
      </c>
      <c r="E322">
        <v>0</v>
      </c>
      <c r="F322" t="s">
        <v>848</v>
      </c>
      <c r="G322" t="s">
        <v>1664</v>
      </c>
      <c r="H322" s="9" t="s">
        <v>66</v>
      </c>
      <c r="I322" s="8">
        <v>0</v>
      </c>
      <c r="J322" s="69"/>
      <c r="K322" t="s">
        <v>1626</v>
      </c>
    </row>
    <row r="323" spans="1:11" x14ac:dyDescent="0.25">
      <c r="A323" s="5" t="s">
        <v>22</v>
      </c>
      <c r="B323" t="s">
        <v>118</v>
      </c>
      <c r="C323" s="9" t="s">
        <v>1848</v>
      </c>
      <c r="D323" t="s">
        <v>773</v>
      </c>
      <c r="E323">
        <v>0</v>
      </c>
      <c r="F323" t="s">
        <v>774</v>
      </c>
      <c r="G323" t="s">
        <v>1664</v>
      </c>
      <c r="H323" s="9">
        <v>250</v>
      </c>
      <c r="I323" s="8">
        <v>0</v>
      </c>
      <c r="J323" s="69"/>
      <c r="K323" t="s">
        <v>1626</v>
      </c>
    </row>
    <row r="324" spans="1:11" x14ac:dyDescent="0.25">
      <c r="A324" s="5" t="s">
        <v>22</v>
      </c>
      <c r="B324" t="s">
        <v>118</v>
      </c>
      <c r="C324" s="9" t="s">
        <v>1843</v>
      </c>
      <c r="D324" t="s">
        <v>868</v>
      </c>
      <c r="E324">
        <v>0</v>
      </c>
      <c r="F324" t="s">
        <v>869</v>
      </c>
      <c r="G324" t="s">
        <v>1664</v>
      </c>
      <c r="H324" s="9" t="s">
        <v>66</v>
      </c>
      <c r="I324" s="8">
        <v>0</v>
      </c>
      <c r="J324" s="69"/>
      <c r="K324" t="s">
        <v>1626</v>
      </c>
    </row>
    <row r="325" spans="1:11" x14ac:dyDescent="0.25">
      <c r="A325" s="5" t="s">
        <v>22</v>
      </c>
      <c r="B325" t="s">
        <v>118</v>
      </c>
      <c r="C325" s="9" t="s">
        <v>1843</v>
      </c>
      <c r="D325" t="s">
        <v>870</v>
      </c>
      <c r="E325">
        <v>0</v>
      </c>
      <c r="F325" t="s">
        <v>871</v>
      </c>
      <c r="G325" t="s">
        <v>1664</v>
      </c>
      <c r="H325" s="9" t="s">
        <v>66</v>
      </c>
      <c r="I325" s="8">
        <v>0</v>
      </c>
      <c r="J325" s="69"/>
      <c r="K325" t="s">
        <v>1626</v>
      </c>
    </row>
    <row r="326" spans="1:11" x14ac:dyDescent="0.25">
      <c r="A326" s="5" t="s">
        <v>22</v>
      </c>
      <c r="B326" t="s">
        <v>118</v>
      </c>
      <c r="C326" s="9" t="s">
        <v>1843</v>
      </c>
      <c r="D326" t="s">
        <v>887</v>
      </c>
      <c r="E326">
        <v>0</v>
      </c>
      <c r="F326" t="s">
        <v>888</v>
      </c>
      <c r="G326" t="s">
        <v>1664</v>
      </c>
      <c r="H326" s="9" t="s">
        <v>66</v>
      </c>
      <c r="I326" s="8">
        <v>0</v>
      </c>
      <c r="J326" s="69"/>
      <c r="K326" t="s">
        <v>1626</v>
      </c>
    </row>
    <row r="327" spans="1:11" x14ac:dyDescent="0.25">
      <c r="A327" s="5" t="s">
        <v>22</v>
      </c>
      <c r="B327" t="s">
        <v>118</v>
      </c>
      <c r="C327" s="9" t="s">
        <v>1843</v>
      </c>
      <c r="D327" t="s">
        <v>872</v>
      </c>
      <c r="E327">
        <v>0</v>
      </c>
      <c r="F327" t="s">
        <v>873</v>
      </c>
      <c r="G327" t="s">
        <v>1664</v>
      </c>
      <c r="H327" t="s">
        <v>66</v>
      </c>
      <c r="I327" s="8">
        <v>0</v>
      </c>
      <c r="J327" s="69"/>
      <c r="K327" t="s">
        <v>1626</v>
      </c>
    </row>
    <row r="328" spans="1:11" x14ac:dyDescent="0.25">
      <c r="A328" s="5" t="s">
        <v>22</v>
      </c>
      <c r="B328" t="s">
        <v>118</v>
      </c>
      <c r="C328" s="9" t="s">
        <v>1843</v>
      </c>
      <c r="D328" t="s">
        <v>874</v>
      </c>
      <c r="E328">
        <v>0</v>
      </c>
      <c r="F328" t="s">
        <v>873</v>
      </c>
      <c r="G328" t="s">
        <v>1664</v>
      </c>
      <c r="H328" s="9" t="s">
        <v>66</v>
      </c>
      <c r="I328" s="8">
        <v>0</v>
      </c>
      <c r="J328" s="69"/>
      <c r="K328" t="s">
        <v>1626</v>
      </c>
    </row>
    <row r="329" spans="1:11" x14ac:dyDescent="0.25">
      <c r="A329" s="5" t="s">
        <v>22</v>
      </c>
      <c r="B329" t="s">
        <v>118</v>
      </c>
      <c r="C329" s="9" t="s">
        <v>1843</v>
      </c>
      <c r="D329" t="s">
        <v>875</v>
      </c>
      <c r="E329">
        <v>0</v>
      </c>
      <c r="F329" t="s">
        <v>876</v>
      </c>
      <c r="G329" t="s">
        <v>1664</v>
      </c>
      <c r="H329" s="9" t="s">
        <v>66</v>
      </c>
      <c r="I329" s="8">
        <v>0</v>
      </c>
      <c r="J329" s="69"/>
      <c r="K329" t="s">
        <v>1626</v>
      </c>
    </row>
    <row r="330" spans="1:11" x14ac:dyDescent="0.25">
      <c r="A330" s="5" t="s">
        <v>22</v>
      </c>
      <c r="B330" t="s">
        <v>118</v>
      </c>
      <c r="C330" s="9">
        <v>117.00902777777777</v>
      </c>
      <c r="D330" t="s">
        <v>506</v>
      </c>
      <c r="E330">
        <v>0</v>
      </c>
      <c r="F330" t="s">
        <v>507</v>
      </c>
      <c r="G330" t="s">
        <v>1664</v>
      </c>
      <c r="H330" s="9">
        <v>166.66666666666666</v>
      </c>
      <c r="I330" s="8">
        <v>0</v>
      </c>
      <c r="J330" s="69"/>
      <c r="K330" t="s">
        <v>1626</v>
      </c>
    </row>
    <row r="331" spans="1:11" x14ac:dyDescent="0.25">
      <c r="A331" s="5" t="s">
        <v>22</v>
      </c>
      <c r="B331" t="s">
        <v>118</v>
      </c>
      <c r="C331" s="9">
        <v>117.00902777777777</v>
      </c>
      <c r="D331" t="s">
        <v>508</v>
      </c>
      <c r="E331">
        <v>0</v>
      </c>
      <c r="F331" t="s">
        <v>509</v>
      </c>
      <c r="G331" t="s">
        <v>1664</v>
      </c>
      <c r="H331" s="9">
        <v>166.66666666666666</v>
      </c>
      <c r="I331" s="8">
        <v>0</v>
      </c>
      <c r="J331" s="69"/>
      <c r="K331" t="s">
        <v>1626</v>
      </c>
    </row>
    <row r="332" spans="1:11" x14ac:dyDescent="0.25">
      <c r="A332" s="5" t="s">
        <v>22</v>
      </c>
      <c r="B332" t="s">
        <v>118</v>
      </c>
      <c r="C332" s="9" t="s">
        <v>1844</v>
      </c>
      <c r="D332" t="s">
        <v>775</v>
      </c>
      <c r="E332">
        <v>0</v>
      </c>
      <c r="F332" t="s">
        <v>776</v>
      </c>
      <c r="G332" t="s">
        <v>1664</v>
      </c>
      <c r="H332" s="9">
        <v>250</v>
      </c>
      <c r="I332" s="8">
        <v>0</v>
      </c>
      <c r="J332" s="69"/>
      <c r="K332" t="s">
        <v>1626</v>
      </c>
    </row>
    <row r="333" spans="1:11" x14ac:dyDescent="0.25">
      <c r="A333" s="5" t="s">
        <v>22</v>
      </c>
      <c r="B333" t="s">
        <v>118</v>
      </c>
      <c r="C333" s="9">
        <v>24.903472222222224</v>
      </c>
      <c r="D333" t="s">
        <v>326</v>
      </c>
      <c r="E333">
        <v>0</v>
      </c>
      <c r="F333" t="s">
        <v>327</v>
      </c>
      <c r="G333" t="s">
        <v>1664</v>
      </c>
      <c r="H333" t="s">
        <v>66</v>
      </c>
      <c r="I333" s="8">
        <v>0</v>
      </c>
      <c r="J333" s="69"/>
      <c r="K333" t="s">
        <v>1626</v>
      </c>
    </row>
    <row r="334" spans="1:11" x14ac:dyDescent="0.25">
      <c r="A334" s="5" t="s">
        <v>22</v>
      </c>
      <c r="B334" t="s">
        <v>118</v>
      </c>
      <c r="C334" s="9" t="s">
        <v>1844</v>
      </c>
      <c r="D334" t="s">
        <v>767</v>
      </c>
      <c r="E334">
        <v>0</v>
      </c>
      <c r="F334" t="s">
        <v>768</v>
      </c>
      <c r="G334" t="s">
        <v>1664</v>
      </c>
      <c r="H334" s="9">
        <v>291.66666666666669</v>
      </c>
      <c r="I334" s="8">
        <v>0</v>
      </c>
      <c r="J334" s="69"/>
      <c r="K334" t="s">
        <v>1626</v>
      </c>
    </row>
    <row r="335" spans="1:11" x14ac:dyDescent="0.25">
      <c r="A335" s="5" t="s">
        <v>22</v>
      </c>
      <c r="B335" t="s">
        <v>118</v>
      </c>
      <c r="C335" s="9" t="s">
        <v>1844</v>
      </c>
      <c r="D335" t="s">
        <v>769</v>
      </c>
      <c r="E335">
        <v>0</v>
      </c>
      <c r="F335" t="s">
        <v>770</v>
      </c>
      <c r="G335" t="s">
        <v>1664</v>
      </c>
      <c r="H335" s="9">
        <v>291.66666666666669</v>
      </c>
      <c r="I335" s="8">
        <v>0</v>
      </c>
      <c r="J335" s="69"/>
      <c r="K335" t="s">
        <v>1626</v>
      </c>
    </row>
    <row r="336" spans="1:11" x14ac:dyDescent="0.25">
      <c r="A336" s="5" t="s">
        <v>22</v>
      </c>
      <c r="B336" t="s">
        <v>118</v>
      </c>
      <c r="C336" s="9">
        <v>24.903472222222224</v>
      </c>
      <c r="D336" t="s">
        <v>437</v>
      </c>
      <c r="E336">
        <v>0</v>
      </c>
      <c r="F336" t="s">
        <v>438</v>
      </c>
      <c r="G336" t="s">
        <v>1664</v>
      </c>
      <c r="H336" s="9" t="s">
        <v>66</v>
      </c>
      <c r="I336" s="8">
        <v>0</v>
      </c>
      <c r="J336" s="69"/>
      <c r="K336" t="s">
        <v>1626</v>
      </c>
    </row>
    <row r="337" spans="1:11" x14ac:dyDescent="0.25">
      <c r="A337" s="5" t="s">
        <v>22</v>
      </c>
      <c r="B337" t="s">
        <v>118</v>
      </c>
      <c r="C337" s="9">
        <v>24.903472222222224</v>
      </c>
      <c r="D337" t="s">
        <v>435</v>
      </c>
      <c r="E337">
        <v>0</v>
      </c>
      <c r="F337" t="s">
        <v>436</v>
      </c>
      <c r="G337" t="s">
        <v>1664</v>
      </c>
      <c r="H337" t="s">
        <v>66</v>
      </c>
      <c r="I337" s="8">
        <v>0</v>
      </c>
      <c r="J337" s="69"/>
      <c r="K337" t="s">
        <v>1626</v>
      </c>
    </row>
    <row r="338" spans="1:11" x14ac:dyDescent="0.25">
      <c r="A338" s="5" t="s">
        <v>22</v>
      </c>
      <c r="B338" t="s">
        <v>118</v>
      </c>
      <c r="C338" s="9" t="s">
        <v>1844</v>
      </c>
      <c r="D338" t="s">
        <v>771</v>
      </c>
      <c r="E338">
        <v>0</v>
      </c>
      <c r="F338" t="s">
        <v>772</v>
      </c>
      <c r="G338" t="s">
        <v>1664</v>
      </c>
      <c r="H338" s="9">
        <v>291.66666666666669</v>
      </c>
      <c r="I338" s="8">
        <v>0</v>
      </c>
      <c r="J338" s="69"/>
      <c r="K338" t="s">
        <v>1626</v>
      </c>
    </row>
    <row r="339" spans="1:11" x14ac:dyDescent="0.25">
      <c r="A339" s="5" t="s">
        <v>22</v>
      </c>
      <c r="B339" t="s">
        <v>118</v>
      </c>
      <c r="C339" s="9" t="s">
        <v>1844</v>
      </c>
      <c r="D339" t="s">
        <v>664</v>
      </c>
      <c r="E339">
        <v>0</v>
      </c>
      <c r="F339" t="s">
        <v>665</v>
      </c>
      <c r="G339" t="s">
        <v>1664</v>
      </c>
      <c r="H339" s="9">
        <v>291.66666666666669</v>
      </c>
      <c r="I339" s="8">
        <v>0</v>
      </c>
      <c r="J339" s="69"/>
      <c r="K339" t="s">
        <v>1626</v>
      </c>
    </row>
    <row r="340" spans="1:11" x14ac:dyDescent="0.25">
      <c r="A340" s="5" t="s">
        <v>22</v>
      </c>
      <c r="B340" t="s">
        <v>118</v>
      </c>
      <c r="C340" s="9" t="s">
        <v>1844</v>
      </c>
      <c r="D340" t="s">
        <v>777</v>
      </c>
      <c r="E340">
        <v>0</v>
      </c>
      <c r="F340" t="s">
        <v>778</v>
      </c>
      <c r="G340" t="s">
        <v>1664</v>
      </c>
      <c r="H340" s="9">
        <v>291.66666666666669</v>
      </c>
      <c r="I340" s="8">
        <v>0</v>
      </c>
      <c r="J340" s="69"/>
      <c r="K340" t="s">
        <v>1626</v>
      </c>
    </row>
    <row r="341" spans="1:11" x14ac:dyDescent="0.25">
      <c r="A341" s="5" t="s">
        <v>22</v>
      </c>
      <c r="B341" t="s">
        <v>118</v>
      </c>
      <c r="C341" s="9">
        <v>24.903472222222224</v>
      </c>
      <c r="D341" t="s">
        <v>449</v>
      </c>
      <c r="E341">
        <v>0</v>
      </c>
      <c r="F341" t="s">
        <v>450</v>
      </c>
      <c r="G341" t="s">
        <v>1664</v>
      </c>
      <c r="H341" s="9">
        <v>83.333333333333329</v>
      </c>
      <c r="I341" s="8">
        <v>0</v>
      </c>
      <c r="J341" s="69"/>
      <c r="K341" t="s">
        <v>1626</v>
      </c>
    </row>
    <row r="342" spans="1:11" x14ac:dyDescent="0.25">
      <c r="A342" s="5" t="s">
        <v>22</v>
      </c>
      <c r="B342" t="s">
        <v>118</v>
      </c>
      <c r="C342" s="9">
        <v>24.903472222222224</v>
      </c>
      <c r="D342" t="s">
        <v>451</v>
      </c>
      <c r="E342">
        <v>0</v>
      </c>
      <c r="F342" t="s">
        <v>452</v>
      </c>
      <c r="G342" t="s">
        <v>1664</v>
      </c>
      <c r="H342" s="9">
        <v>83.333333333333329</v>
      </c>
      <c r="I342" s="8">
        <v>0</v>
      </c>
      <c r="J342" s="69"/>
      <c r="K342" t="s">
        <v>1626</v>
      </c>
    </row>
    <row r="343" spans="1:11" x14ac:dyDescent="0.25">
      <c r="A343" s="5" t="s">
        <v>22</v>
      </c>
      <c r="B343" t="s">
        <v>118</v>
      </c>
      <c r="C343" s="9">
        <v>24.903472222222224</v>
      </c>
      <c r="D343" t="s">
        <v>328</v>
      </c>
      <c r="E343">
        <v>0</v>
      </c>
      <c r="F343" t="s">
        <v>329</v>
      </c>
      <c r="G343" t="s">
        <v>1664</v>
      </c>
      <c r="H343" s="9" t="s">
        <v>66</v>
      </c>
      <c r="I343" s="8">
        <v>0</v>
      </c>
      <c r="J343" s="69"/>
      <c r="K343" t="s">
        <v>1626</v>
      </c>
    </row>
    <row r="344" spans="1:11" x14ac:dyDescent="0.25">
      <c r="A344" s="5" t="s">
        <v>22</v>
      </c>
      <c r="B344" t="s">
        <v>118</v>
      </c>
      <c r="C344" s="9">
        <v>24.903472222222224</v>
      </c>
      <c r="D344" t="s">
        <v>330</v>
      </c>
      <c r="E344">
        <v>0</v>
      </c>
      <c r="F344" t="s">
        <v>331</v>
      </c>
      <c r="G344" t="s">
        <v>1664</v>
      </c>
      <c r="H344" s="9" t="s">
        <v>66</v>
      </c>
      <c r="I344" s="8">
        <v>0</v>
      </c>
      <c r="J344" s="69"/>
      <c r="K344" t="s">
        <v>1626</v>
      </c>
    </row>
    <row r="345" spans="1:11" x14ac:dyDescent="0.25">
      <c r="A345" s="5" t="s">
        <v>22</v>
      </c>
      <c r="B345" t="s">
        <v>118</v>
      </c>
      <c r="C345" s="9" t="s">
        <v>1849</v>
      </c>
      <c r="D345" t="s">
        <v>668</v>
      </c>
      <c r="E345">
        <v>0</v>
      </c>
      <c r="F345" t="s">
        <v>669</v>
      </c>
      <c r="G345" t="s">
        <v>1664</v>
      </c>
      <c r="H345" s="9">
        <v>104.16666666666667</v>
      </c>
      <c r="I345" s="8">
        <v>0</v>
      </c>
      <c r="J345" s="69"/>
      <c r="K345" t="s">
        <v>1626</v>
      </c>
    </row>
    <row r="346" spans="1:11" x14ac:dyDescent="0.25">
      <c r="A346" s="5" t="s">
        <v>22</v>
      </c>
      <c r="B346" t="s">
        <v>118</v>
      </c>
      <c r="C346" s="9" t="s">
        <v>1849</v>
      </c>
      <c r="D346" t="s">
        <v>670</v>
      </c>
      <c r="E346">
        <v>0</v>
      </c>
      <c r="F346" t="s">
        <v>671</v>
      </c>
      <c r="G346" t="s">
        <v>1664</v>
      </c>
      <c r="H346" s="9">
        <v>104.16666666666667</v>
      </c>
      <c r="I346" s="8">
        <v>0</v>
      </c>
      <c r="J346" s="69"/>
      <c r="K346" t="s">
        <v>1626</v>
      </c>
    </row>
    <row r="347" spans="1:11" x14ac:dyDescent="0.25">
      <c r="A347" s="5" t="s">
        <v>22</v>
      </c>
      <c r="B347" t="s">
        <v>118</v>
      </c>
      <c r="C347" s="9" t="s">
        <v>1843</v>
      </c>
      <c r="D347" t="s">
        <v>877</v>
      </c>
      <c r="E347">
        <v>0</v>
      </c>
      <c r="F347" t="s">
        <v>878</v>
      </c>
      <c r="G347" t="s">
        <v>1664</v>
      </c>
      <c r="H347" s="9" t="s">
        <v>66</v>
      </c>
      <c r="I347" s="8">
        <v>0</v>
      </c>
      <c r="J347" s="69"/>
      <c r="K347" t="s">
        <v>1626</v>
      </c>
    </row>
    <row r="348" spans="1:11" x14ac:dyDescent="0.25">
      <c r="A348" s="5" t="s">
        <v>22</v>
      </c>
      <c r="B348" t="s">
        <v>118</v>
      </c>
      <c r="C348" s="9" t="s">
        <v>1843</v>
      </c>
      <c r="D348" t="s">
        <v>879</v>
      </c>
      <c r="E348">
        <v>0</v>
      </c>
      <c r="F348" t="s">
        <v>880</v>
      </c>
      <c r="G348" t="s">
        <v>1664</v>
      </c>
      <c r="H348" s="9" t="s">
        <v>66</v>
      </c>
      <c r="I348" s="8">
        <v>0</v>
      </c>
      <c r="J348" s="69"/>
      <c r="K348" t="s">
        <v>1626</v>
      </c>
    </row>
    <row r="349" spans="1:11" x14ac:dyDescent="0.25">
      <c r="A349" s="5" t="s">
        <v>22</v>
      </c>
      <c r="B349" t="s">
        <v>118</v>
      </c>
      <c r="C349" s="9" t="s">
        <v>1843</v>
      </c>
      <c r="D349" t="s">
        <v>881</v>
      </c>
      <c r="E349">
        <v>0</v>
      </c>
      <c r="F349" t="s">
        <v>882</v>
      </c>
      <c r="G349" t="s">
        <v>1664</v>
      </c>
      <c r="H349" s="9" t="s">
        <v>66</v>
      </c>
      <c r="I349" s="8">
        <v>0</v>
      </c>
      <c r="J349" s="69"/>
      <c r="K349" t="s">
        <v>1626</v>
      </c>
    </row>
    <row r="350" spans="1:11" x14ac:dyDescent="0.25">
      <c r="A350" s="5" t="s">
        <v>22</v>
      </c>
      <c r="B350" t="s">
        <v>118</v>
      </c>
      <c r="C350" s="9" t="s">
        <v>1843</v>
      </c>
      <c r="D350" t="s">
        <v>883</v>
      </c>
      <c r="E350">
        <v>0</v>
      </c>
      <c r="F350" t="s">
        <v>884</v>
      </c>
      <c r="G350" t="s">
        <v>1664</v>
      </c>
      <c r="H350" s="9" t="s">
        <v>66</v>
      </c>
      <c r="I350" s="8">
        <v>0</v>
      </c>
      <c r="J350" s="69"/>
      <c r="K350" t="s">
        <v>1626</v>
      </c>
    </row>
    <row r="351" spans="1:11" x14ac:dyDescent="0.25">
      <c r="A351" s="5" t="s">
        <v>22</v>
      </c>
      <c r="B351" t="s">
        <v>118</v>
      </c>
      <c r="C351" s="9">
        <v>4.1326388888888888</v>
      </c>
      <c r="D351" t="s">
        <v>430</v>
      </c>
      <c r="E351">
        <v>0</v>
      </c>
      <c r="F351" t="s">
        <v>431</v>
      </c>
      <c r="G351" t="s">
        <v>1664</v>
      </c>
      <c r="H351" s="9">
        <v>208.33333333333334</v>
      </c>
      <c r="I351" s="8">
        <v>0</v>
      </c>
      <c r="J351" s="69"/>
      <c r="K351" t="s">
        <v>1626</v>
      </c>
    </row>
    <row r="352" spans="1:11" x14ac:dyDescent="0.25">
      <c r="A352" s="5" t="s">
        <v>22</v>
      </c>
      <c r="B352" t="s">
        <v>118</v>
      </c>
      <c r="C352" s="9" t="s">
        <v>1847</v>
      </c>
      <c r="D352" t="s">
        <v>779</v>
      </c>
      <c r="E352">
        <v>0</v>
      </c>
      <c r="F352" t="s">
        <v>780</v>
      </c>
      <c r="G352" t="s">
        <v>1664</v>
      </c>
      <c r="H352" s="9" t="s">
        <v>66</v>
      </c>
      <c r="I352" s="8">
        <v>0</v>
      </c>
      <c r="J352" s="69"/>
      <c r="K352" t="s">
        <v>1626</v>
      </c>
    </row>
    <row r="353" spans="1:11" x14ac:dyDescent="0.25">
      <c r="A353" s="5" t="s">
        <v>22</v>
      </c>
      <c r="B353" t="s">
        <v>118</v>
      </c>
      <c r="C353" s="9" t="s">
        <v>1847</v>
      </c>
      <c r="D353" t="s">
        <v>781</v>
      </c>
      <c r="E353">
        <v>0</v>
      </c>
      <c r="F353" t="s">
        <v>782</v>
      </c>
      <c r="G353" t="s">
        <v>1664</v>
      </c>
      <c r="H353" s="9" t="s">
        <v>66</v>
      </c>
      <c r="I353" s="8">
        <v>0</v>
      </c>
      <c r="J353" s="69"/>
      <c r="K353" t="s">
        <v>1626</v>
      </c>
    </row>
    <row r="354" spans="1:11" x14ac:dyDescent="0.25">
      <c r="A354" s="5" t="s">
        <v>22</v>
      </c>
      <c r="B354" t="s">
        <v>118</v>
      </c>
      <c r="C354" s="9" t="s">
        <v>1847</v>
      </c>
      <c r="D354" t="s">
        <v>783</v>
      </c>
      <c r="E354">
        <v>0</v>
      </c>
      <c r="F354" t="s">
        <v>784</v>
      </c>
      <c r="G354" t="s">
        <v>1664</v>
      </c>
      <c r="H354" s="9" t="s">
        <v>66</v>
      </c>
      <c r="I354" s="8">
        <v>0</v>
      </c>
      <c r="J354" s="69"/>
      <c r="K354" t="s">
        <v>1626</v>
      </c>
    </row>
    <row r="355" spans="1:11" x14ac:dyDescent="0.25">
      <c r="A355" s="5" t="s">
        <v>22</v>
      </c>
      <c r="B355" t="s">
        <v>118</v>
      </c>
      <c r="C355" s="9" t="s">
        <v>1850</v>
      </c>
      <c r="D355" t="s">
        <v>674</v>
      </c>
      <c r="E355">
        <v>0</v>
      </c>
      <c r="F355" t="s">
        <v>675</v>
      </c>
      <c r="G355" t="s">
        <v>1664</v>
      </c>
      <c r="H355" t="s">
        <v>66</v>
      </c>
      <c r="I355" s="8">
        <v>0</v>
      </c>
      <c r="J355" s="69"/>
      <c r="K355" t="s">
        <v>1626</v>
      </c>
    </row>
    <row r="356" spans="1:11" x14ac:dyDescent="0.25">
      <c r="A356" s="5" t="s">
        <v>22</v>
      </c>
      <c r="B356" t="s">
        <v>118</v>
      </c>
      <c r="C356" s="9">
        <v>24.903472222222224</v>
      </c>
      <c r="D356" t="s">
        <v>332</v>
      </c>
      <c r="E356">
        <v>0</v>
      </c>
      <c r="F356" t="s">
        <v>333</v>
      </c>
      <c r="G356" t="s">
        <v>1664</v>
      </c>
      <c r="H356" s="9" t="s">
        <v>66</v>
      </c>
      <c r="I356" s="8">
        <v>0</v>
      </c>
      <c r="J356" s="69"/>
      <c r="K356" t="s">
        <v>1626</v>
      </c>
    </row>
    <row r="357" spans="1:11" x14ac:dyDescent="0.25">
      <c r="A357" s="5" t="s">
        <v>22</v>
      </c>
      <c r="B357" t="s">
        <v>118</v>
      </c>
      <c r="C357" s="9">
        <v>24.903472222222224</v>
      </c>
      <c r="D357" t="s">
        <v>453</v>
      </c>
      <c r="E357">
        <v>0</v>
      </c>
      <c r="F357" t="s">
        <v>454</v>
      </c>
      <c r="G357" t="s">
        <v>1664</v>
      </c>
      <c r="H357" s="9" t="s">
        <v>66</v>
      </c>
      <c r="I357" s="8">
        <v>0</v>
      </c>
      <c r="J357" s="69"/>
      <c r="K357" t="s">
        <v>1626</v>
      </c>
    </row>
    <row r="358" spans="1:11" x14ac:dyDescent="0.25">
      <c r="A358" s="5" t="s">
        <v>22</v>
      </c>
      <c r="B358" t="s">
        <v>118</v>
      </c>
      <c r="C358" s="9">
        <v>24.903472222222224</v>
      </c>
      <c r="D358" t="s">
        <v>334</v>
      </c>
      <c r="E358">
        <v>0</v>
      </c>
      <c r="F358" t="s">
        <v>335</v>
      </c>
      <c r="G358" t="s">
        <v>1664</v>
      </c>
      <c r="H358" t="s">
        <v>66</v>
      </c>
      <c r="I358" s="8">
        <v>0</v>
      </c>
      <c r="J358" s="69"/>
      <c r="K358" t="s">
        <v>1626</v>
      </c>
    </row>
    <row r="359" spans="1:11" x14ac:dyDescent="0.25">
      <c r="A359" s="5" t="s">
        <v>22</v>
      </c>
      <c r="B359" t="s">
        <v>118</v>
      </c>
      <c r="C359" s="9">
        <v>24.903472222222224</v>
      </c>
      <c r="D359" t="s">
        <v>336</v>
      </c>
      <c r="E359">
        <v>0</v>
      </c>
      <c r="F359" t="s">
        <v>337</v>
      </c>
      <c r="G359" t="s">
        <v>1664</v>
      </c>
      <c r="H359" t="s">
        <v>66</v>
      </c>
      <c r="I359" s="8">
        <v>0</v>
      </c>
      <c r="J359" s="69"/>
      <c r="K359" t="s">
        <v>1626</v>
      </c>
    </row>
    <row r="360" spans="1:11" x14ac:dyDescent="0.25">
      <c r="A360" s="5" t="s">
        <v>22</v>
      </c>
      <c r="B360" t="s">
        <v>118</v>
      </c>
      <c r="C360" s="9">
        <v>188.11875000000001</v>
      </c>
      <c r="D360" t="s">
        <v>545</v>
      </c>
      <c r="E360">
        <v>0</v>
      </c>
      <c r="F360" t="s">
        <v>546</v>
      </c>
      <c r="G360" t="s">
        <v>1664</v>
      </c>
      <c r="H360" t="s">
        <v>66</v>
      </c>
      <c r="I360" s="8">
        <v>0</v>
      </c>
      <c r="J360" s="69"/>
      <c r="K360" t="s">
        <v>1626</v>
      </c>
    </row>
    <row r="361" spans="1:11" x14ac:dyDescent="0.25">
      <c r="A361" s="5" t="s">
        <v>22</v>
      </c>
      <c r="B361" t="s">
        <v>118</v>
      </c>
      <c r="C361" s="9">
        <v>16.509722222222223</v>
      </c>
      <c r="D361" t="s">
        <v>235</v>
      </c>
      <c r="E361">
        <v>0</v>
      </c>
      <c r="F361" t="s">
        <v>236</v>
      </c>
      <c r="G361" t="s">
        <v>1664</v>
      </c>
      <c r="H361" s="9" t="s">
        <v>66</v>
      </c>
      <c r="I361" s="8">
        <v>0</v>
      </c>
      <c r="J361" s="69"/>
      <c r="K361" t="s">
        <v>1626</v>
      </c>
    </row>
    <row r="362" spans="1:11" x14ac:dyDescent="0.25">
      <c r="A362" s="5" t="s">
        <v>22</v>
      </c>
      <c r="B362" t="s">
        <v>118</v>
      </c>
      <c r="C362" s="9">
        <v>4.0472222222222225</v>
      </c>
      <c r="D362" t="s">
        <v>237</v>
      </c>
      <c r="E362">
        <v>0</v>
      </c>
      <c r="F362" t="s">
        <v>238</v>
      </c>
      <c r="G362" t="s">
        <v>1664</v>
      </c>
      <c r="H362" s="9" t="s">
        <v>66</v>
      </c>
      <c r="I362" s="8">
        <v>0</v>
      </c>
      <c r="J362" s="69"/>
      <c r="K362" t="s">
        <v>1626</v>
      </c>
    </row>
    <row r="363" spans="1:11" x14ac:dyDescent="0.25">
      <c r="A363" s="5" t="s">
        <v>22</v>
      </c>
      <c r="B363" t="s">
        <v>118</v>
      </c>
      <c r="C363" s="9" t="s">
        <v>1851</v>
      </c>
      <c r="D363" t="s">
        <v>816</v>
      </c>
      <c r="E363">
        <v>0</v>
      </c>
      <c r="F363" t="s">
        <v>817</v>
      </c>
      <c r="G363" t="s">
        <v>1664</v>
      </c>
      <c r="H363" s="9" t="s">
        <v>66</v>
      </c>
      <c r="I363" s="8">
        <v>0</v>
      </c>
      <c r="J363" s="69"/>
      <c r="K363" t="s">
        <v>1626</v>
      </c>
    </row>
    <row r="364" spans="1:11" x14ac:dyDescent="0.25">
      <c r="A364" s="5" t="s">
        <v>22</v>
      </c>
      <c r="B364" t="s">
        <v>118</v>
      </c>
      <c r="C364" s="9" t="s">
        <v>1847</v>
      </c>
      <c r="D364" t="s">
        <v>818</v>
      </c>
      <c r="E364">
        <v>0</v>
      </c>
      <c r="F364" t="s">
        <v>819</v>
      </c>
      <c r="G364" t="s">
        <v>1664</v>
      </c>
      <c r="H364" s="9" t="s">
        <v>66</v>
      </c>
      <c r="I364" s="8">
        <v>0</v>
      </c>
      <c r="J364" s="69"/>
      <c r="K364" t="s">
        <v>1626</v>
      </c>
    </row>
    <row r="365" spans="1:11" x14ac:dyDescent="0.25">
      <c r="A365" s="5" t="s">
        <v>22</v>
      </c>
      <c r="B365" t="s">
        <v>118</v>
      </c>
      <c r="C365" s="9" t="s">
        <v>1847</v>
      </c>
      <c r="D365" t="s">
        <v>820</v>
      </c>
      <c r="E365">
        <v>0</v>
      </c>
      <c r="F365" t="s">
        <v>821</v>
      </c>
      <c r="G365" t="s">
        <v>1664</v>
      </c>
      <c r="H365" s="9" t="s">
        <v>66</v>
      </c>
      <c r="I365" s="8">
        <v>0</v>
      </c>
      <c r="J365" s="69"/>
      <c r="K365" t="s">
        <v>1626</v>
      </c>
    </row>
    <row r="366" spans="1:11" x14ac:dyDescent="0.25">
      <c r="A366" s="5" t="s">
        <v>22</v>
      </c>
      <c r="B366" t="s">
        <v>118</v>
      </c>
      <c r="C366" s="9">
        <v>188.11875000000001</v>
      </c>
      <c r="D366" t="s">
        <v>547</v>
      </c>
      <c r="E366">
        <v>0</v>
      </c>
      <c r="F366" t="s">
        <v>548</v>
      </c>
      <c r="G366" t="s">
        <v>1664</v>
      </c>
      <c r="H366" s="9" t="s">
        <v>66</v>
      </c>
      <c r="I366" s="8">
        <v>0</v>
      </c>
      <c r="J366" s="69"/>
      <c r="K366" t="s">
        <v>1626</v>
      </c>
    </row>
    <row r="367" spans="1:11" x14ac:dyDescent="0.25">
      <c r="A367" s="5" t="s">
        <v>22</v>
      </c>
      <c r="B367" t="s">
        <v>118</v>
      </c>
      <c r="C367" s="9">
        <v>20.663888888888888</v>
      </c>
      <c r="D367" t="s">
        <v>424</v>
      </c>
      <c r="E367">
        <v>0</v>
      </c>
      <c r="F367" t="s">
        <v>425</v>
      </c>
      <c r="G367" t="s">
        <v>1664</v>
      </c>
      <c r="H367" s="9" t="s">
        <v>66</v>
      </c>
      <c r="I367" s="8">
        <v>0</v>
      </c>
      <c r="J367" s="69"/>
      <c r="K367" t="s">
        <v>1626</v>
      </c>
    </row>
    <row r="368" spans="1:11" x14ac:dyDescent="0.25">
      <c r="A368" s="5" t="s">
        <v>22</v>
      </c>
      <c r="B368" t="s">
        <v>118</v>
      </c>
      <c r="C368" s="9">
        <v>20.663888888888888</v>
      </c>
      <c r="D368" t="s">
        <v>426</v>
      </c>
      <c r="E368">
        <v>0</v>
      </c>
      <c r="F368" t="s">
        <v>427</v>
      </c>
      <c r="G368" t="s">
        <v>1664</v>
      </c>
      <c r="H368" t="s">
        <v>66</v>
      </c>
      <c r="I368" s="8">
        <v>0</v>
      </c>
      <c r="J368" s="69"/>
      <c r="K368" t="s">
        <v>1626</v>
      </c>
    </row>
    <row r="369" spans="1:11" x14ac:dyDescent="0.25">
      <c r="A369" s="5" t="s">
        <v>22</v>
      </c>
      <c r="B369" t="s">
        <v>118</v>
      </c>
      <c r="C369" s="9" t="s">
        <v>1847</v>
      </c>
      <c r="D369" t="s">
        <v>745</v>
      </c>
      <c r="E369">
        <v>0</v>
      </c>
      <c r="F369" t="s">
        <v>746</v>
      </c>
      <c r="G369" t="s">
        <v>1664</v>
      </c>
      <c r="H369" t="s">
        <v>66</v>
      </c>
      <c r="I369" s="8">
        <v>0</v>
      </c>
      <c r="J369" s="69"/>
      <c r="K369" t="s">
        <v>1626</v>
      </c>
    </row>
    <row r="370" spans="1:11" x14ac:dyDescent="0.25">
      <c r="A370" s="5" t="s">
        <v>22</v>
      </c>
      <c r="B370" t="s">
        <v>118</v>
      </c>
      <c r="C370" s="9" t="s">
        <v>1847</v>
      </c>
      <c r="D370" t="s">
        <v>741</v>
      </c>
      <c r="E370">
        <v>0</v>
      </c>
      <c r="F370" t="s">
        <v>742</v>
      </c>
      <c r="G370" t="s">
        <v>1664</v>
      </c>
      <c r="H370" t="s">
        <v>66</v>
      </c>
      <c r="I370" s="8">
        <v>0</v>
      </c>
      <c r="J370" s="69"/>
      <c r="K370" t="s">
        <v>1626</v>
      </c>
    </row>
    <row r="371" spans="1:11" x14ac:dyDescent="0.25">
      <c r="A371" s="5" t="s">
        <v>22</v>
      </c>
      <c r="B371" t="s">
        <v>118</v>
      </c>
      <c r="C371" s="9" t="s">
        <v>1847</v>
      </c>
      <c r="D371" t="s">
        <v>743</v>
      </c>
      <c r="E371">
        <v>0</v>
      </c>
      <c r="F371" t="s">
        <v>744</v>
      </c>
      <c r="G371" t="s">
        <v>1664</v>
      </c>
      <c r="H371" t="s">
        <v>66</v>
      </c>
      <c r="I371" s="8">
        <v>0</v>
      </c>
      <c r="J371" s="69"/>
      <c r="K371" t="s">
        <v>1626</v>
      </c>
    </row>
    <row r="372" spans="1:11" x14ac:dyDescent="0.25">
      <c r="A372" s="5" t="s">
        <v>22</v>
      </c>
      <c r="B372" t="s">
        <v>118</v>
      </c>
      <c r="C372" s="9" t="s">
        <v>1852</v>
      </c>
      <c r="D372" t="s">
        <v>747</v>
      </c>
      <c r="E372">
        <v>0</v>
      </c>
      <c r="F372" t="s">
        <v>748</v>
      </c>
      <c r="G372" t="s">
        <v>1664</v>
      </c>
      <c r="H372" t="s">
        <v>66</v>
      </c>
      <c r="I372" s="8">
        <v>0</v>
      </c>
      <c r="J372" s="69"/>
      <c r="K372" t="s">
        <v>1626</v>
      </c>
    </row>
    <row r="373" spans="1:11" x14ac:dyDescent="0.25">
      <c r="A373" s="5" t="s">
        <v>22</v>
      </c>
      <c r="B373" t="s">
        <v>118</v>
      </c>
      <c r="C373" s="9" t="s">
        <v>1847</v>
      </c>
      <c r="D373" t="s">
        <v>749</v>
      </c>
      <c r="E373">
        <v>0</v>
      </c>
      <c r="F373" t="s">
        <v>750</v>
      </c>
      <c r="G373" t="s">
        <v>1664</v>
      </c>
      <c r="H373" t="s">
        <v>66</v>
      </c>
      <c r="I373" s="8">
        <v>0</v>
      </c>
      <c r="J373" s="69"/>
      <c r="K373" t="s">
        <v>1626</v>
      </c>
    </row>
    <row r="374" spans="1:11" x14ac:dyDescent="0.25">
      <c r="A374" s="5" t="s">
        <v>22</v>
      </c>
      <c r="B374" t="s">
        <v>118</v>
      </c>
      <c r="C374" s="9" t="s">
        <v>1847</v>
      </c>
      <c r="D374" t="s">
        <v>751</v>
      </c>
      <c r="E374">
        <v>0</v>
      </c>
      <c r="F374" t="s">
        <v>752</v>
      </c>
      <c r="G374" t="s">
        <v>1664</v>
      </c>
      <c r="H374" s="9" t="s">
        <v>66</v>
      </c>
      <c r="I374" s="8">
        <v>0</v>
      </c>
      <c r="J374" s="69"/>
      <c r="K374" t="s">
        <v>1626</v>
      </c>
    </row>
    <row r="375" spans="1:11" x14ac:dyDescent="0.25">
      <c r="A375" s="5" t="s">
        <v>22</v>
      </c>
      <c r="B375" t="s">
        <v>118</v>
      </c>
      <c r="C375" s="9" t="s">
        <v>1847</v>
      </c>
      <c r="D375" t="s">
        <v>753</v>
      </c>
      <c r="E375">
        <v>0</v>
      </c>
      <c r="F375" t="s">
        <v>754</v>
      </c>
      <c r="G375" t="s">
        <v>1664</v>
      </c>
      <c r="H375" t="s">
        <v>66</v>
      </c>
      <c r="I375" s="8">
        <v>0</v>
      </c>
      <c r="J375" s="69"/>
      <c r="K375" t="s">
        <v>1626</v>
      </c>
    </row>
    <row r="376" spans="1:11" x14ac:dyDescent="0.25">
      <c r="A376" s="5" t="s">
        <v>22</v>
      </c>
      <c r="B376" t="s">
        <v>118</v>
      </c>
      <c r="C376" s="9" t="s">
        <v>1847</v>
      </c>
      <c r="D376" t="s">
        <v>755</v>
      </c>
      <c r="E376">
        <v>0</v>
      </c>
      <c r="F376" t="s">
        <v>756</v>
      </c>
      <c r="G376" t="s">
        <v>1664</v>
      </c>
      <c r="H376" s="9" t="s">
        <v>38</v>
      </c>
      <c r="I376" s="8">
        <v>0</v>
      </c>
      <c r="J376" s="69"/>
      <c r="K376" t="s">
        <v>1626</v>
      </c>
    </row>
    <row r="377" spans="1:11" x14ac:dyDescent="0.25">
      <c r="A377" s="5" t="s">
        <v>22</v>
      </c>
      <c r="B377" t="s">
        <v>118</v>
      </c>
      <c r="C377" s="9" t="s">
        <v>1853</v>
      </c>
      <c r="D377" t="s">
        <v>889</v>
      </c>
      <c r="E377">
        <v>0</v>
      </c>
      <c r="F377" t="s">
        <v>756</v>
      </c>
      <c r="G377" t="s">
        <v>1664</v>
      </c>
      <c r="H377" t="s">
        <v>38</v>
      </c>
      <c r="I377" s="8">
        <v>0</v>
      </c>
      <c r="J377" s="69"/>
      <c r="K377" t="s">
        <v>1626</v>
      </c>
    </row>
    <row r="378" spans="1:11" x14ac:dyDescent="0.25">
      <c r="A378" s="5" t="s">
        <v>22</v>
      </c>
      <c r="B378" t="s">
        <v>118</v>
      </c>
      <c r="C378" s="9" t="s">
        <v>1847</v>
      </c>
      <c r="D378" t="s">
        <v>757</v>
      </c>
      <c r="E378">
        <v>0</v>
      </c>
      <c r="F378" t="s">
        <v>756</v>
      </c>
      <c r="G378" t="s">
        <v>1664</v>
      </c>
      <c r="H378" s="9" t="s">
        <v>758</v>
      </c>
      <c r="I378" s="8">
        <v>0</v>
      </c>
      <c r="J378" s="69"/>
      <c r="K378" t="s">
        <v>1626</v>
      </c>
    </row>
    <row r="379" spans="1:11" x14ac:dyDescent="0.25">
      <c r="A379" s="5" t="s">
        <v>22</v>
      </c>
      <c r="B379" t="s">
        <v>118</v>
      </c>
      <c r="C379" s="9" t="s">
        <v>1847</v>
      </c>
      <c r="D379" t="s">
        <v>759</v>
      </c>
      <c r="E379">
        <v>0</v>
      </c>
      <c r="F379" t="s">
        <v>760</v>
      </c>
      <c r="G379" t="s">
        <v>1664</v>
      </c>
      <c r="H379" s="9" t="s">
        <v>66</v>
      </c>
      <c r="I379" s="8">
        <v>0</v>
      </c>
      <c r="J379" s="69"/>
      <c r="K379" t="s">
        <v>1626</v>
      </c>
    </row>
    <row r="380" spans="1:11" x14ac:dyDescent="0.25">
      <c r="A380" s="5" t="s">
        <v>22</v>
      </c>
      <c r="B380" t="s">
        <v>118</v>
      </c>
      <c r="C380" s="9" t="s">
        <v>1843</v>
      </c>
      <c r="D380" t="s">
        <v>845</v>
      </c>
      <c r="E380">
        <v>0</v>
      </c>
      <c r="F380" t="s">
        <v>846</v>
      </c>
      <c r="G380" t="s">
        <v>1664</v>
      </c>
      <c r="H380" s="9" t="s">
        <v>66</v>
      </c>
      <c r="I380" s="8">
        <v>0</v>
      </c>
      <c r="J380" s="69"/>
      <c r="K380" t="s">
        <v>1626</v>
      </c>
    </row>
    <row r="381" spans="1:11" x14ac:dyDescent="0.25">
      <c r="A381" s="5" t="s">
        <v>22</v>
      </c>
      <c r="B381" t="s">
        <v>118</v>
      </c>
      <c r="C381" s="9" t="s">
        <v>1847</v>
      </c>
      <c r="D381" t="s">
        <v>714</v>
      </c>
      <c r="E381">
        <v>0</v>
      </c>
      <c r="F381" t="s">
        <v>715</v>
      </c>
      <c r="G381" t="s">
        <v>1664</v>
      </c>
      <c r="H381" s="9" t="s">
        <v>66</v>
      </c>
      <c r="I381" s="8">
        <v>0</v>
      </c>
      <c r="J381" s="69"/>
      <c r="K381" t="s">
        <v>1626</v>
      </c>
    </row>
    <row r="382" spans="1:11" x14ac:dyDescent="0.25">
      <c r="A382" s="5" t="s">
        <v>22</v>
      </c>
      <c r="B382" t="s">
        <v>118</v>
      </c>
      <c r="C382" s="9">
        <v>24.903472222222224</v>
      </c>
      <c r="D382" t="s">
        <v>338</v>
      </c>
      <c r="E382">
        <v>0</v>
      </c>
      <c r="F382" t="s">
        <v>339</v>
      </c>
      <c r="G382" t="s">
        <v>1664</v>
      </c>
      <c r="H382" s="9">
        <v>83.333333333333329</v>
      </c>
      <c r="I382" s="8">
        <v>0</v>
      </c>
      <c r="J382" s="69"/>
      <c r="K382" t="s">
        <v>1626</v>
      </c>
    </row>
    <row r="383" spans="1:11" x14ac:dyDescent="0.25">
      <c r="A383" s="5" t="s">
        <v>22</v>
      </c>
      <c r="B383" t="s">
        <v>118</v>
      </c>
      <c r="C383" s="9">
        <v>1.5215277777777778</v>
      </c>
      <c r="D383" t="s">
        <v>161</v>
      </c>
      <c r="E383">
        <v>0</v>
      </c>
      <c r="F383" t="s">
        <v>162</v>
      </c>
      <c r="G383" t="s">
        <v>1664</v>
      </c>
      <c r="H383" s="9">
        <v>2.0833333333333335</v>
      </c>
      <c r="I383" s="8">
        <v>0</v>
      </c>
      <c r="J383" s="69"/>
      <c r="K383" t="s">
        <v>1626</v>
      </c>
    </row>
    <row r="384" spans="1:11" x14ac:dyDescent="0.25">
      <c r="A384" s="5" t="s">
        <v>22</v>
      </c>
      <c r="B384" t="s">
        <v>118</v>
      </c>
      <c r="C384" s="9">
        <v>1.5215277777777778</v>
      </c>
      <c r="D384" t="s">
        <v>163</v>
      </c>
      <c r="E384">
        <v>0</v>
      </c>
      <c r="F384" t="s">
        <v>164</v>
      </c>
      <c r="G384" t="s">
        <v>1664</v>
      </c>
      <c r="H384" s="9">
        <v>2.0833333333333335</v>
      </c>
      <c r="I384" s="8">
        <v>0</v>
      </c>
      <c r="J384" s="69"/>
      <c r="K384" t="s">
        <v>1626</v>
      </c>
    </row>
    <row r="385" spans="1:11" x14ac:dyDescent="0.25">
      <c r="A385" s="5" t="s">
        <v>22</v>
      </c>
      <c r="B385" t="s">
        <v>118</v>
      </c>
      <c r="C385" s="9">
        <v>13.539583333333333</v>
      </c>
      <c r="D385" t="s">
        <v>324</v>
      </c>
      <c r="E385">
        <v>0</v>
      </c>
      <c r="F385" t="s">
        <v>325</v>
      </c>
      <c r="G385" t="s">
        <v>1664</v>
      </c>
      <c r="H385" s="9">
        <v>16.666666666666668</v>
      </c>
      <c r="I385" s="8">
        <v>0</v>
      </c>
      <c r="J385" s="69"/>
      <c r="K385" t="s">
        <v>1626</v>
      </c>
    </row>
    <row r="386" spans="1:11" x14ac:dyDescent="0.25">
      <c r="A386" s="5" t="s">
        <v>22</v>
      </c>
      <c r="B386" t="s">
        <v>118</v>
      </c>
      <c r="C386" s="9">
        <v>0.33541666666666664</v>
      </c>
      <c r="D386" t="s">
        <v>147</v>
      </c>
      <c r="E386">
        <v>0</v>
      </c>
      <c r="F386" t="s">
        <v>148</v>
      </c>
      <c r="G386" t="s">
        <v>1664</v>
      </c>
      <c r="H386" s="9">
        <v>6.25</v>
      </c>
      <c r="I386" s="8">
        <v>0</v>
      </c>
      <c r="J386" s="69"/>
      <c r="K386" t="s">
        <v>1626</v>
      </c>
    </row>
    <row r="387" spans="1:11" x14ac:dyDescent="0.25">
      <c r="A387" s="5" t="s">
        <v>22</v>
      </c>
      <c r="B387" t="s">
        <v>118</v>
      </c>
      <c r="C387" s="9">
        <v>0.36875000000000002</v>
      </c>
      <c r="D387" t="s">
        <v>1477</v>
      </c>
      <c r="E387">
        <v>0</v>
      </c>
      <c r="F387" t="s">
        <v>1478</v>
      </c>
      <c r="G387" t="s">
        <v>1664</v>
      </c>
      <c r="H387" s="9">
        <v>0.52083333333333337</v>
      </c>
      <c r="I387" s="8">
        <v>0</v>
      </c>
      <c r="J387" s="69"/>
      <c r="K387" t="s">
        <v>1626</v>
      </c>
    </row>
    <row r="388" spans="1:11" x14ac:dyDescent="0.25">
      <c r="A388" s="5" t="s">
        <v>22</v>
      </c>
      <c r="B388" t="s">
        <v>118</v>
      </c>
      <c r="C388" s="9" t="s">
        <v>1854</v>
      </c>
      <c r="D388" t="s">
        <v>842</v>
      </c>
      <c r="E388">
        <v>0</v>
      </c>
      <c r="F388" t="s">
        <v>843</v>
      </c>
      <c r="G388" t="s">
        <v>1784</v>
      </c>
      <c r="H388" s="9" t="s">
        <v>844</v>
      </c>
      <c r="I388" s="8">
        <v>0</v>
      </c>
      <c r="J388" s="69"/>
      <c r="K388" t="s">
        <v>1626</v>
      </c>
    </row>
    <row r="389" spans="1:11" x14ac:dyDescent="0.25">
      <c r="A389" s="5" t="s">
        <v>22</v>
      </c>
      <c r="B389" t="s">
        <v>118</v>
      </c>
      <c r="C389" s="9">
        <v>358.23680555555558</v>
      </c>
      <c r="D389" t="s">
        <v>593</v>
      </c>
      <c r="E389">
        <v>0</v>
      </c>
      <c r="F389" t="s">
        <v>594</v>
      </c>
      <c r="G389">
        <v>161</v>
      </c>
      <c r="H389" s="9" t="s">
        <v>66</v>
      </c>
      <c r="I389" s="8">
        <v>0</v>
      </c>
      <c r="J389" s="69"/>
      <c r="K389" t="s">
        <v>1626</v>
      </c>
    </row>
    <row r="390" spans="1:11" x14ac:dyDescent="0.25">
      <c r="A390" s="5" t="s">
        <v>22</v>
      </c>
      <c r="B390" t="s">
        <v>118</v>
      </c>
      <c r="C390" s="9" t="s">
        <v>1854</v>
      </c>
      <c r="D390" t="s">
        <v>842</v>
      </c>
      <c r="E390">
        <v>0</v>
      </c>
      <c r="F390" t="s">
        <v>843</v>
      </c>
      <c r="G390" t="s">
        <v>1785</v>
      </c>
      <c r="H390" s="9" t="s">
        <v>844</v>
      </c>
      <c r="I390" s="8">
        <v>0</v>
      </c>
      <c r="J390" s="69"/>
      <c r="K390" t="s">
        <v>1626</v>
      </c>
    </row>
    <row r="391" spans="1:11" x14ac:dyDescent="0.25">
      <c r="A391" s="5" t="s">
        <v>22</v>
      </c>
      <c r="B391" t="s">
        <v>118</v>
      </c>
      <c r="C391" s="9">
        <v>4.1319444444444446</v>
      </c>
      <c r="D391" t="s">
        <v>430</v>
      </c>
      <c r="E391">
        <v>0</v>
      </c>
      <c r="F391" t="s">
        <v>431</v>
      </c>
      <c r="G391" t="s">
        <v>1685</v>
      </c>
      <c r="H391" s="9">
        <v>208.33333333333334</v>
      </c>
      <c r="I391" s="8">
        <v>0</v>
      </c>
      <c r="J391" s="69"/>
      <c r="K391" t="s">
        <v>1626</v>
      </c>
    </row>
    <row r="392" spans="1:11" x14ac:dyDescent="0.25">
      <c r="A392" s="5" t="s">
        <v>22</v>
      </c>
      <c r="B392" t="s">
        <v>118</v>
      </c>
      <c r="C392" s="9">
        <v>94.40347222222222</v>
      </c>
      <c r="D392" t="s">
        <v>447</v>
      </c>
      <c r="E392">
        <v>0</v>
      </c>
      <c r="F392" t="s">
        <v>448</v>
      </c>
      <c r="G392" t="s">
        <v>1655</v>
      </c>
      <c r="H392" s="9" t="s">
        <v>38</v>
      </c>
      <c r="I392" s="8">
        <v>0</v>
      </c>
      <c r="J392" s="69"/>
      <c r="K392" t="s">
        <v>1626</v>
      </c>
    </row>
    <row r="393" spans="1:11" x14ac:dyDescent="0.25">
      <c r="A393" s="5" t="s">
        <v>22</v>
      </c>
      <c r="B393" t="s">
        <v>118</v>
      </c>
      <c r="C393" s="9">
        <v>2.2840277777777778</v>
      </c>
      <c r="D393" t="s">
        <v>173</v>
      </c>
      <c r="E393">
        <v>0</v>
      </c>
      <c r="F393" t="s">
        <v>174</v>
      </c>
      <c r="G393" t="s">
        <v>1655</v>
      </c>
      <c r="H393" s="9">
        <v>4.166666666666667</v>
      </c>
      <c r="I393" s="8">
        <v>0</v>
      </c>
      <c r="J393" s="69"/>
      <c r="K393" t="s">
        <v>1626</v>
      </c>
    </row>
    <row r="394" spans="1:11" x14ac:dyDescent="0.25">
      <c r="A394" s="5" t="s">
        <v>22</v>
      </c>
      <c r="B394" t="s">
        <v>118</v>
      </c>
      <c r="C394" s="9" t="s">
        <v>1855</v>
      </c>
      <c r="D394" t="s">
        <v>672</v>
      </c>
      <c r="E394">
        <v>0</v>
      </c>
      <c r="F394" t="s">
        <v>673</v>
      </c>
      <c r="G394" t="s">
        <v>1751</v>
      </c>
      <c r="H394" t="s">
        <v>607</v>
      </c>
      <c r="I394" s="8">
        <v>0</v>
      </c>
      <c r="J394" s="69"/>
      <c r="K394" t="s">
        <v>1626</v>
      </c>
    </row>
    <row r="395" spans="1:11" x14ac:dyDescent="0.25">
      <c r="A395" s="5" t="s">
        <v>22</v>
      </c>
      <c r="B395" t="s">
        <v>118</v>
      </c>
      <c r="C395" s="9" t="s">
        <v>1856</v>
      </c>
      <c r="D395" t="s">
        <v>676</v>
      </c>
      <c r="E395">
        <v>0</v>
      </c>
      <c r="F395" t="s">
        <v>677</v>
      </c>
      <c r="G395" t="s">
        <v>1754</v>
      </c>
      <c r="H395" s="9">
        <v>104.16666666666667</v>
      </c>
      <c r="I395" s="8">
        <v>0</v>
      </c>
      <c r="J395" s="69"/>
      <c r="K395" t="s">
        <v>1626</v>
      </c>
    </row>
    <row r="396" spans="1:11" x14ac:dyDescent="0.25">
      <c r="A396" s="5" t="s">
        <v>22</v>
      </c>
      <c r="B396" t="s">
        <v>118</v>
      </c>
      <c r="C396" s="9" t="s">
        <v>1857</v>
      </c>
      <c r="D396" t="s">
        <v>678</v>
      </c>
      <c r="E396">
        <v>0</v>
      </c>
      <c r="F396" t="s">
        <v>679</v>
      </c>
      <c r="G396" t="s">
        <v>1755</v>
      </c>
      <c r="H396" s="9">
        <v>104.16666666666667</v>
      </c>
      <c r="I396" s="8">
        <v>0</v>
      </c>
      <c r="J396" s="69"/>
      <c r="K396" t="s">
        <v>1626</v>
      </c>
    </row>
    <row r="397" spans="1:11" x14ac:dyDescent="0.25">
      <c r="A397" s="5" t="s">
        <v>22</v>
      </c>
      <c r="B397" t="s">
        <v>118</v>
      </c>
      <c r="C397" s="9" t="s">
        <v>1857</v>
      </c>
      <c r="D397" t="s">
        <v>680</v>
      </c>
      <c r="E397">
        <v>0</v>
      </c>
      <c r="F397" t="s">
        <v>681</v>
      </c>
      <c r="G397" t="s">
        <v>1755</v>
      </c>
      <c r="H397" s="9">
        <v>104.16666666666667</v>
      </c>
      <c r="I397" s="8">
        <v>0</v>
      </c>
      <c r="J397" s="69"/>
      <c r="K397" t="s">
        <v>1626</v>
      </c>
    </row>
    <row r="398" spans="1:11" x14ac:dyDescent="0.25">
      <c r="A398" s="5" t="s">
        <v>22</v>
      </c>
      <c r="B398" t="s">
        <v>118</v>
      </c>
      <c r="C398" s="9">
        <v>33.658333333333331</v>
      </c>
      <c r="D398" t="s">
        <v>447</v>
      </c>
      <c r="E398">
        <v>0</v>
      </c>
      <c r="F398" t="s">
        <v>448</v>
      </c>
      <c r="G398" t="s">
        <v>1656</v>
      </c>
      <c r="H398" t="s">
        <v>38</v>
      </c>
      <c r="I398" s="8">
        <v>0</v>
      </c>
      <c r="J398" s="69"/>
      <c r="K398" t="s">
        <v>1626</v>
      </c>
    </row>
    <row r="399" spans="1:11" x14ac:dyDescent="0.25">
      <c r="A399" s="5" t="s">
        <v>22</v>
      </c>
      <c r="B399" t="s">
        <v>118</v>
      </c>
      <c r="C399" s="9">
        <v>2.2840277777777778</v>
      </c>
      <c r="D399" t="s">
        <v>173</v>
      </c>
      <c r="E399">
        <v>0</v>
      </c>
      <c r="F399" t="s">
        <v>174</v>
      </c>
      <c r="G399" t="s">
        <v>1656</v>
      </c>
      <c r="H399" s="9">
        <v>4.166666666666667</v>
      </c>
      <c r="I399" s="8">
        <v>0</v>
      </c>
      <c r="J399" s="69"/>
      <c r="K399" t="s">
        <v>1626</v>
      </c>
    </row>
    <row r="400" spans="1:11" x14ac:dyDescent="0.25">
      <c r="A400" s="5" t="s">
        <v>22</v>
      </c>
      <c r="B400" t="s">
        <v>118</v>
      </c>
      <c r="C400" s="9">
        <v>6.5854166666666663</v>
      </c>
      <c r="D400" t="s">
        <v>245</v>
      </c>
      <c r="E400">
        <v>0</v>
      </c>
      <c r="F400" t="s">
        <v>246</v>
      </c>
      <c r="G400">
        <v>3651856</v>
      </c>
      <c r="H400" s="9">
        <v>12.5</v>
      </c>
      <c r="I400" s="8">
        <v>0</v>
      </c>
      <c r="J400" s="69"/>
      <c r="K400" t="s">
        <v>1626</v>
      </c>
    </row>
    <row r="401" spans="1:11" x14ac:dyDescent="0.25">
      <c r="A401" s="5" t="s">
        <v>22</v>
      </c>
      <c r="B401" t="s">
        <v>118</v>
      </c>
      <c r="C401" s="9" t="s">
        <v>1858</v>
      </c>
      <c r="D401" t="s">
        <v>678</v>
      </c>
      <c r="E401">
        <v>0</v>
      </c>
      <c r="F401" t="s">
        <v>679</v>
      </c>
      <c r="G401" t="s">
        <v>1763</v>
      </c>
      <c r="H401" s="9">
        <v>104.16666666666667</v>
      </c>
      <c r="I401" s="8">
        <v>0</v>
      </c>
      <c r="J401" s="69"/>
      <c r="K401" t="s">
        <v>1626</v>
      </c>
    </row>
    <row r="402" spans="1:11" x14ac:dyDescent="0.25">
      <c r="A402" s="5" t="s">
        <v>22</v>
      </c>
      <c r="B402" t="s">
        <v>118</v>
      </c>
      <c r="C402" s="9" t="s">
        <v>1858</v>
      </c>
      <c r="D402" t="s">
        <v>680</v>
      </c>
      <c r="E402">
        <v>0</v>
      </c>
      <c r="F402" t="s">
        <v>681</v>
      </c>
      <c r="G402" t="s">
        <v>1763</v>
      </c>
      <c r="H402" s="9">
        <v>104.16666666666667</v>
      </c>
      <c r="I402" s="8">
        <v>0</v>
      </c>
      <c r="J402" s="69"/>
      <c r="K402" t="s">
        <v>1626</v>
      </c>
    </row>
    <row r="403" spans="1:11" x14ac:dyDescent="0.25">
      <c r="A403" s="5" t="s">
        <v>22</v>
      </c>
      <c r="B403" t="s">
        <v>118</v>
      </c>
      <c r="C403" s="9" t="s">
        <v>1859</v>
      </c>
      <c r="D403" t="s">
        <v>602</v>
      </c>
      <c r="E403">
        <v>0</v>
      </c>
      <c r="F403" t="s">
        <v>603</v>
      </c>
      <c r="G403" t="s">
        <v>1749</v>
      </c>
      <c r="H403" s="9" t="s">
        <v>604</v>
      </c>
      <c r="I403" s="8">
        <v>0</v>
      </c>
      <c r="J403" s="69"/>
      <c r="K403" t="s">
        <v>1626</v>
      </c>
    </row>
    <row r="404" spans="1:11" x14ac:dyDescent="0.25">
      <c r="A404" s="5" t="s">
        <v>22</v>
      </c>
      <c r="B404" t="s">
        <v>118</v>
      </c>
      <c r="C404" s="9">
        <v>11.223611111111111</v>
      </c>
      <c r="D404" t="s">
        <v>245</v>
      </c>
      <c r="E404">
        <v>0</v>
      </c>
      <c r="F404" t="s">
        <v>246</v>
      </c>
      <c r="G404">
        <v>3514716</v>
      </c>
      <c r="H404" s="9">
        <v>12.5</v>
      </c>
      <c r="I404" s="8">
        <v>0</v>
      </c>
      <c r="J404" s="69"/>
      <c r="K404" t="s">
        <v>1626</v>
      </c>
    </row>
    <row r="405" spans="1:11" x14ac:dyDescent="0.25">
      <c r="A405" s="5" t="s">
        <v>22</v>
      </c>
      <c r="B405" t="s">
        <v>118</v>
      </c>
      <c r="C405" s="9">
        <v>413.10555555555555</v>
      </c>
      <c r="D405" t="s">
        <v>602</v>
      </c>
      <c r="E405">
        <v>0</v>
      </c>
      <c r="F405" t="s">
        <v>603</v>
      </c>
      <c r="G405" t="s">
        <v>1748</v>
      </c>
      <c r="H405" s="9" t="s">
        <v>604</v>
      </c>
      <c r="I405" s="8">
        <v>0</v>
      </c>
      <c r="J405" s="69"/>
      <c r="K405" t="s">
        <v>1626</v>
      </c>
    </row>
    <row r="406" spans="1:11" x14ac:dyDescent="0.25">
      <c r="A406" s="5" t="s">
        <v>22</v>
      </c>
      <c r="B406" t="s">
        <v>118</v>
      </c>
      <c r="C406" s="9">
        <v>4.2611111111111111</v>
      </c>
      <c r="D406" t="s">
        <v>245</v>
      </c>
      <c r="E406">
        <v>0</v>
      </c>
      <c r="F406" t="s">
        <v>246</v>
      </c>
      <c r="G406">
        <v>3438373</v>
      </c>
      <c r="H406" s="9">
        <v>12.5</v>
      </c>
      <c r="I406" s="8">
        <v>0</v>
      </c>
      <c r="J406" s="69"/>
      <c r="K406" t="s">
        <v>1626</v>
      </c>
    </row>
    <row r="407" spans="1:11" x14ac:dyDescent="0.25">
      <c r="A407" s="5" t="s">
        <v>22</v>
      </c>
      <c r="B407" t="s">
        <v>118</v>
      </c>
      <c r="C407" s="9">
        <v>72.417361111111106</v>
      </c>
      <c r="D407" t="s">
        <v>447</v>
      </c>
      <c r="E407">
        <v>0</v>
      </c>
      <c r="F407" t="s">
        <v>448</v>
      </c>
      <c r="G407" t="s">
        <v>1657</v>
      </c>
      <c r="H407" t="s">
        <v>38</v>
      </c>
      <c r="I407" s="8">
        <v>0</v>
      </c>
      <c r="J407" s="69"/>
      <c r="K407" t="s">
        <v>1626</v>
      </c>
    </row>
    <row r="408" spans="1:11" x14ac:dyDescent="0.25">
      <c r="A408" s="5" t="s">
        <v>22</v>
      </c>
      <c r="B408" t="s">
        <v>118</v>
      </c>
      <c r="C408" s="9">
        <v>2.2840277777777778</v>
      </c>
      <c r="D408" t="s">
        <v>173</v>
      </c>
      <c r="E408">
        <v>0</v>
      </c>
      <c r="F408" t="s">
        <v>174</v>
      </c>
      <c r="G408" t="s">
        <v>1657</v>
      </c>
      <c r="H408" s="9">
        <v>4.166666666666667</v>
      </c>
      <c r="I408" s="8">
        <v>0</v>
      </c>
      <c r="J408" s="69"/>
      <c r="K408" t="s">
        <v>1626</v>
      </c>
    </row>
    <row r="409" spans="1:11" x14ac:dyDescent="0.25">
      <c r="A409" s="5" t="s">
        <v>22</v>
      </c>
      <c r="B409" t="s">
        <v>118</v>
      </c>
      <c r="C409" s="9">
        <v>66.779166666666669</v>
      </c>
      <c r="D409" t="s">
        <v>478</v>
      </c>
      <c r="E409">
        <v>0</v>
      </c>
      <c r="F409" t="s">
        <v>479</v>
      </c>
      <c r="G409" t="s">
        <v>1709</v>
      </c>
      <c r="H409" s="9">
        <v>83.333333333333329</v>
      </c>
      <c r="I409" s="8">
        <v>0</v>
      </c>
      <c r="J409" s="69"/>
      <c r="K409" t="s">
        <v>1626</v>
      </c>
    </row>
    <row r="410" spans="1:11" x14ac:dyDescent="0.25">
      <c r="A410" s="5" t="s">
        <v>22</v>
      </c>
      <c r="B410" t="s">
        <v>118</v>
      </c>
      <c r="C410" s="9">
        <v>319.10069444444446</v>
      </c>
      <c r="D410" t="s">
        <v>551</v>
      </c>
      <c r="E410">
        <v>0</v>
      </c>
      <c r="F410" t="s">
        <v>552</v>
      </c>
      <c r="G410" t="s">
        <v>1682</v>
      </c>
      <c r="H410" s="9" t="s">
        <v>66</v>
      </c>
      <c r="I410" s="8">
        <v>0</v>
      </c>
      <c r="J410" s="69"/>
      <c r="K410" t="s">
        <v>1626</v>
      </c>
    </row>
    <row r="411" spans="1:11" x14ac:dyDescent="0.25">
      <c r="A411" s="5" t="s">
        <v>22</v>
      </c>
      <c r="B411" t="s">
        <v>118</v>
      </c>
      <c r="C411" s="9">
        <v>2.4527777777777779</v>
      </c>
      <c r="D411" t="s">
        <v>151</v>
      </c>
      <c r="E411">
        <v>0</v>
      </c>
      <c r="F411" t="s">
        <v>152</v>
      </c>
      <c r="G411" t="s">
        <v>1682</v>
      </c>
      <c r="H411" s="9">
        <v>6.25</v>
      </c>
      <c r="I411" s="8">
        <v>0</v>
      </c>
      <c r="J411" s="69"/>
      <c r="K411" t="s">
        <v>1626</v>
      </c>
    </row>
    <row r="412" spans="1:11" x14ac:dyDescent="0.25">
      <c r="A412" s="5" t="s">
        <v>22</v>
      </c>
      <c r="B412" t="s">
        <v>118</v>
      </c>
      <c r="C412" s="9">
        <v>15.4375</v>
      </c>
      <c r="D412" t="s">
        <v>320</v>
      </c>
      <c r="E412">
        <v>0</v>
      </c>
      <c r="F412" t="s">
        <v>321</v>
      </c>
      <c r="G412" t="s">
        <v>1682</v>
      </c>
      <c r="H412" s="9">
        <v>25</v>
      </c>
      <c r="I412" s="8">
        <v>0</v>
      </c>
      <c r="J412" s="69"/>
      <c r="K412" t="s">
        <v>1626</v>
      </c>
    </row>
    <row r="413" spans="1:11" x14ac:dyDescent="0.25">
      <c r="A413" s="5" t="s">
        <v>22</v>
      </c>
      <c r="B413" t="s">
        <v>118</v>
      </c>
      <c r="C413" s="9">
        <v>15.4375</v>
      </c>
      <c r="D413" t="s">
        <v>181</v>
      </c>
      <c r="E413">
        <v>0</v>
      </c>
      <c r="F413" t="s">
        <v>182</v>
      </c>
      <c r="G413" t="s">
        <v>1682</v>
      </c>
      <c r="H413" s="9">
        <v>25</v>
      </c>
      <c r="I413" s="8">
        <v>0</v>
      </c>
      <c r="J413" s="69"/>
      <c r="K413" t="s">
        <v>1626</v>
      </c>
    </row>
    <row r="414" spans="1:11" x14ac:dyDescent="0.25">
      <c r="A414" s="5" t="s">
        <v>22</v>
      </c>
      <c r="B414" t="s">
        <v>118</v>
      </c>
      <c r="C414" s="9">
        <v>233.03125</v>
      </c>
      <c r="D414" t="s">
        <v>551</v>
      </c>
      <c r="E414">
        <v>0</v>
      </c>
      <c r="F414" t="s">
        <v>552</v>
      </c>
      <c r="G414" t="s">
        <v>1669</v>
      </c>
      <c r="H414" s="9" t="s">
        <v>66</v>
      </c>
      <c r="I414" s="8">
        <v>0</v>
      </c>
      <c r="J414" s="69"/>
      <c r="K414" t="s">
        <v>1626</v>
      </c>
    </row>
    <row r="415" spans="1:11" x14ac:dyDescent="0.25">
      <c r="A415" s="5" t="s">
        <v>22</v>
      </c>
      <c r="B415" t="s">
        <v>118</v>
      </c>
      <c r="C415" s="9">
        <v>5.6881944444444441</v>
      </c>
      <c r="D415" t="s">
        <v>151</v>
      </c>
      <c r="E415">
        <v>0</v>
      </c>
      <c r="F415" t="s">
        <v>152</v>
      </c>
      <c r="G415" t="s">
        <v>1669</v>
      </c>
      <c r="H415" s="9">
        <v>6.25</v>
      </c>
      <c r="I415" s="8">
        <v>0</v>
      </c>
      <c r="J415" s="69"/>
      <c r="K415" t="s">
        <v>1626</v>
      </c>
    </row>
    <row r="416" spans="1:11" x14ac:dyDescent="0.25">
      <c r="A416" s="5" t="s">
        <v>22</v>
      </c>
      <c r="B416" t="s">
        <v>118</v>
      </c>
      <c r="C416" s="9">
        <v>12.572916666666666</v>
      </c>
      <c r="D416" t="s">
        <v>320</v>
      </c>
      <c r="E416">
        <v>0</v>
      </c>
      <c r="F416" t="s">
        <v>321</v>
      </c>
      <c r="G416" t="s">
        <v>1669</v>
      </c>
      <c r="H416" s="9">
        <v>25</v>
      </c>
      <c r="I416" s="8">
        <v>0</v>
      </c>
      <c r="J416" s="69"/>
      <c r="K416" t="s">
        <v>1626</v>
      </c>
    </row>
    <row r="417" spans="1:11" x14ac:dyDescent="0.25">
      <c r="A417" s="5" t="s">
        <v>22</v>
      </c>
      <c r="B417" t="s">
        <v>118</v>
      </c>
      <c r="C417" s="9">
        <v>5.6881944444444441</v>
      </c>
      <c r="D417" t="s">
        <v>153</v>
      </c>
      <c r="E417">
        <v>0</v>
      </c>
      <c r="F417" t="s">
        <v>154</v>
      </c>
      <c r="G417" t="s">
        <v>1669</v>
      </c>
      <c r="H417" s="9">
        <v>6.25</v>
      </c>
      <c r="I417" s="8">
        <v>0</v>
      </c>
      <c r="J417" s="69"/>
      <c r="K417" t="s">
        <v>1626</v>
      </c>
    </row>
    <row r="418" spans="1:11" x14ac:dyDescent="0.25">
      <c r="A418" s="5" t="s">
        <v>22</v>
      </c>
      <c r="B418" t="s">
        <v>118</v>
      </c>
      <c r="C418" s="9">
        <v>12.572916666666666</v>
      </c>
      <c r="D418" t="s">
        <v>181</v>
      </c>
      <c r="E418">
        <v>0</v>
      </c>
      <c r="F418" t="s">
        <v>182</v>
      </c>
      <c r="G418" t="s">
        <v>1669</v>
      </c>
      <c r="H418" s="9">
        <v>25</v>
      </c>
      <c r="I418" s="8">
        <v>0</v>
      </c>
      <c r="J418" s="69"/>
      <c r="K418" t="s">
        <v>1626</v>
      </c>
    </row>
    <row r="419" spans="1:11" x14ac:dyDescent="0.25">
      <c r="A419" s="5" t="s">
        <v>22</v>
      </c>
      <c r="B419" t="s">
        <v>118</v>
      </c>
      <c r="C419" s="9">
        <v>193.24305555555554</v>
      </c>
      <c r="D419" t="s">
        <v>597</v>
      </c>
      <c r="E419">
        <v>0</v>
      </c>
      <c r="F419" t="s">
        <v>598</v>
      </c>
      <c r="G419" t="s">
        <v>1658</v>
      </c>
      <c r="H419" s="9" t="s">
        <v>599</v>
      </c>
      <c r="I419" s="8">
        <v>0</v>
      </c>
      <c r="J419" s="69"/>
      <c r="K419" t="s">
        <v>1626</v>
      </c>
    </row>
    <row r="420" spans="1:11" x14ac:dyDescent="0.25">
      <c r="A420" s="5" t="s">
        <v>22</v>
      </c>
      <c r="B420" t="s">
        <v>118</v>
      </c>
      <c r="C420" s="9">
        <v>2.2840277777777778</v>
      </c>
      <c r="D420" t="s">
        <v>199</v>
      </c>
      <c r="E420">
        <v>0</v>
      </c>
      <c r="F420" t="s">
        <v>200</v>
      </c>
      <c r="G420" t="s">
        <v>1658</v>
      </c>
      <c r="H420" s="9">
        <v>4.166666666666667</v>
      </c>
      <c r="I420" s="8">
        <v>0</v>
      </c>
      <c r="J420" s="69"/>
      <c r="K420" t="s">
        <v>1626</v>
      </c>
    </row>
    <row r="421" spans="1:11" x14ac:dyDescent="0.25">
      <c r="A421" s="5" t="s">
        <v>22</v>
      </c>
      <c r="B421" t="s">
        <v>118</v>
      </c>
      <c r="C421" s="9" t="s">
        <v>1860</v>
      </c>
      <c r="D421" t="s">
        <v>712</v>
      </c>
      <c r="E421">
        <v>0</v>
      </c>
      <c r="F421" t="s">
        <v>713</v>
      </c>
      <c r="G421" t="s">
        <v>1764</v>
      </c>
      <c r="H421" t="s">
        <v>38</v>
      </c>
      <c r="I421" s="8">
        <v>0</v>
      </c>
      <c r="J421" s="69"/>
      <c r="K421" t="s">
        <v>1626</v>
      </c>
    </row>
    <row r="422" spans="1:11" x14ac:dyDescent="0.25">
      <c r="A422" s="5" t="s">
        <v>22</v>
      </c>
      <c r="B422" t="s">
        <v>118</v>
      </c>
      <c r="C422" s="9">
        <v>11.86875</v>
      </c>
      <c r="D422" t="s">
        <v>251</v>
      </c>
      <c r="E422">
        <v>0</v>
      </c>
      <c r="F422" t="s">
        <v>252</v>
      </c>
      <c r="G422" t="s">
        <v>1692</v>
      </c>
      <c r="H422" s="9">
        <v>20.833333333333332</v>
      </c>
      <c r="I422" s="8">
        <v>0</v>
      </c>
      <c r="J422" s="69"/>
      <c r="K422" t="s">
        <v>1626</v>
      </c>
    </row>
    <row r="423" spans="1:11" x14ac:dyDescent="0.25">
      <c r="A423" s="5" t="s">
        <v>22</v>
      </c>
      <c r="B423" t="s">
        <v>118</v>
      </c>
      <c r="C423" s="9">
        <v>14.597916666666666</v>
      </c>
      <c r="D423" t="s">
        <v>389</v>
      </c>
      <c r="E423">
        <v>0</v>
      </c>
      <c r="F423" t="s">
        <v>390</v>
      </c>
      <c r="G423" t="s">
        <v>1692</v>
      </c>
      <c r="H423" s="9">
        <v>41.666666666666664</v>
      </c>
      <c r="I423" s="8">
        <v>0</v>
      </c>
      <c r="J423" s="69"/>
      <c r="K423" t="s">
        <v>1626</v>
      </c>
    </row>
    <row r="424" spans="1:11" x14ac:dyDescent="0.25">
      <c r="A424" s="5" t="s">
        <v>22</v>
      </c>
      <c r="B424" t="s">
        <v>118</v>
      </c>
      <c r="C424" s="9">
        <v>0.47986111111111113</v>
      </c>
      <c r="D424" t="s">
        <v>119</v>
      </c>
      <c r="E424">
        <v>0</v>
      </c>
      <c r="F424" t="s">
        <v>120</v>
      </c>
      <c r="G424" t="s">
        <v>1642</v>
      </c>
      <c r="H424" s="9">
        <v>1.0416666666666667</v>
      </c>
      <c r="I424" s="8">
        <v>0</v>
      </c>
      <c r="J424" s="69"/>
      <c r="K424" t="s">
        <v>1626</v>
      </c>
    </row>
    <row r="425" spans="1:11" x14ac:dyDescent="0.25">
      <c r="A425" s="5" t="s">
        <v>22</v>
      </c>
      <c r="B425" t="s">
        <v>118</v>
      </c>
      <c r="C425" s="9">
        <v>0.59375</v>
      </c>
      <c r="D425" t="s">
        <v>125</v>
      </c>
      <c r="E425">
        <v>0</v>
      </c>
      <c r="F425" t="s">
        <v>126</v>
      </c>
      <c r="G425" t="s">
        <v>1642</v>
      </c>
      <c r="H425" s="9">
        <v>1.0416666666666667</v>
      </c>
      <c r="I425" s="8">
        <v>0</v>
      </c>
      <c r="J425" s="69"/>
      <c r="K425" t="s">
        <v>1626</v>
      </c>
    </row>
    <row r="426" spans="1:11" x14ac:dyDescent="0.25">
      <c r="A426" s="5" t="s">
        <v>22</v>
      </c>
      <c r="B426" t="s">
        <v>118</v>
      </c>
      <c r="C426" s="9">
        <v>2.1979166666666665</v>
      </c>
      <c r="D426" t="s">
        <v>179</v>
      </c>
      <c r="E426">
        <v>0</v>
      </c>
      <c r="F426" t="s">
        <v>180</v>
      </c>
      <c r="G426" t="s">
        <v>1642</v>
      </c>
      <c r="H426" s="9">
        <v>4.166666666666667</v>
      </c>
      <c r="I426" s="8">
        <v>0</v>
      </c>
      <c r="J426" s="69"/>
      <c r="K426" t="s">
        <v>1626</v>
      </c>
    </row>
    <row r="427" spans="1:11" x14ac:dyDescent="0.25">
      <c r="A427" s="5" t="s">
        <v>22</v>
      </c>
      <c r="B427" t="s">
        <v>118</v>
      </c>
      <c r="C427" s="9">
        <v>0.43958333333333333</v>
      </c>
      <c r="D427" t="s">
        <v>1672</v>
      </c>
      <c r="E427">
        <v>0</v>
      </c>
      <c r="F427" t="s">
        <v>1673</v>
      </c>
      <c r="G427" t="s">
        <v>1642</v>
      </c>
      <c r="H427" s="9">
        <v>25</v>
      </c>
      <c r="I427" s="8">
        <v>0</v>
      </c>
      <c r="J427" s="69"/>
      <c r="K427" t="s">
        <v>1626</v>
      </c>
    </row>
    <row r="428" spans="1:11" x14ac:dyDescent="0.25">
      <c r="A428" s="5" t="s">
        <v>22</v>
      </c>
      <c r="B428" t="s">
        <v>118</v>
      </c>
      <c r="C428" s="9" t="s">
        <v>1861</v>
      </c>
      <c r="D428" t="s">
        <v>835</v>
      </c>
      <c r="E428">
        <v>0</v>
      </c>
      <c r="F428" t="s">
        <v>836</v>
      </c>
      <c r="G428" t="s">
        <v>1663</v>
      </c>
      <c r="H428" t="s">
        <v>837</v>
      </c>
      <c r="I428" s="8">
        <v>0</v>
      </c>
      <c r="J428" s="69"/>
      <c r="K428" t="s">
        <v>1626</v>
      </c>
    </row>
    <row r="429" spans="1:11" x14ac:dyDescent="0.25">
      <c r="A429" s="5" t="s">
        <v>22</v>
      </c>
      <c r="B429" t="s">
        <v>118</v>
      </c>
      <c r="C429" s="9">
        <v>4.3673611111111112</v>
      </c>
      <c r="D429" t="s">
        <v>1481</v>
      </c>
      <c r="E429">
        <v>0</v>
      </c>
      <c r="F429" t="s">
        <v>1482</v>
      </c>
      <c r="G429" t="s">
        <v>1663</v>
      </c>
      <c r="H429" s="9">
        <v>6.25</v>
      </c>
      <c r="I429" s="8">
        <v>0</v>
      </c>
      <c r="J429" s="69"/>
      <c r="K429" t="s">
        <v>1626</v>
      </c>
    </row>
    <row r="430" spans="1:11" x14ac:dyDescent="0.25">
      <c r="A430" s="5" t="s">
        <v>22</v>
      </c>
      <c r="B430" t="s">
        <v>118</v>
      </c>
      <c r="C430" s="9">
        <v>1.8576388888888888</v>
      </c>
      <c r="D430" t="s">
        <v>1862</v>
      </c>
      <c r="E430">
        <v>0</v>
      </c>
      <c r="F430" t="s">
        <v>1863</v>
      </c>
      <c r="G430" t="s">
        <v>1864</v>
      </c>
      <c r="H430" s="9">
        <v>2.0833333333333335</v>
      </c>
      <c r="I430" s="8">
        <v>0</v>
      </c>
      <c r="J430" s="69"/>
      <c r="K430" t="s">
        <v>1626</v>
      </c>
    </row>
    <row r="431" spans="1:11" x14ac:dyDescent="0.25">
      <c r="A431" s="5" t="s">
        <v>22</v>
      </c>
      <c r="B431" t="s">
        <v>118</v>
      </c>
      <c r="C431" s="9">
        <v>0.81597222222222221</v>
      </c>
      <c r="D431" t="s">
        <v>1865</v>
      </c>
      <c r="E431">
        <v>0</v>
      </c>
      <c r="F431" t="s">
        <v>1866</v>
      </c>
      <c r="G431" t="s">
        <v>1864</v>
      </c>
      <c r="H431" s="9">
        <v>1.0416666666666667</v>
      </c>
      <c r="I431" s="8">
        <v>0</v>
      </c>
      <c r="J431" s="69"/>
      <c r="K431" t="s">
        <v>1626</v>
      </c>
    </row>
    <row r="432" spans="1:11" x14ac:dyDescent="0.25">
      <c r="A432" s="5" t="s">
        <v>22</v>
      </c>
      <c r="B432" t="s">
        <v>118</v>
      </c>
      <c r="C432" s="9">
        <v>354.46666666666664</v>
      </c>
      <c r="D432" t="s">
        <v>573</v>
      </c>
      <c r="E432">
        <v>0</v>
      </c>
      <c r="F432" t="s">
        <v>574</v>
      </c>
      <c r="G432" t="s">
        <v>1738</v>
      </c>
      <c r="H432" s="9">
        <v>279.16666666666669</v>
      </c>
      <c r="I432" s="8">
        <v>0</v>
      </c>
      <c r="J432" s="69"/>
      <c r="K432" t="s">
        <v>1626</v>
      </c>
    </row>
    <row r="433" spans="1:11" x14ac:dyDescent="0.25">
      <c r="A433" s="5" t="s">
        <v>22</v>
      </c>
      <c r="B433" t="s">
        <v>118</v>
      </c>
      <c r="C433" s="9">
        <v>279.72986111111112</v>
      </c>
      <c r="D433" t="s">
        <v>1492</v>
      </c>
      <c r="E433">
        <v>0</v>
      </c>
      <c r="F433" t="s">
        <v>1493</v>
      </c>
      <c r="G433" t="s">
        <v>1710</v>
      </c>
      <c r="H433" s="9">
        <v>291.66666666666669</v>
      </c>
      <c r="I433" s="8">
        <v>0</v>
      </c>
      <c r="J433" s="69"/>
      <c r="K433" t="s">
        <v>1626</v>
      </c>
    </row>
    <row r="434" spans="1:11" x14ac:dyDescent="0.25">
      <c r="A434" s="5" t="s">
        <v>22</v>
      </c>
      <c r="B434" t="s">
        <v>118</v>
      </c>
      <c r="C434" s="9">
        <v>71.396527777777777</v>
      </c>
      <c r="D434" t="s">
        <v>1485</v>
      </c>
      <c r="E434">
        <v>0</v>
      </c>
      <c r="F434" t="s">
        <v>1484</v>
      </c>
      <c r="G434" t="s">
        <v>1710</v>
      </c>
      <c r="H434" s="9">
        <v>291.66666666666669</v>
      </c>
      <c r="I434" s="8">
        <v>0</v>
      </c>
      <c r="J434" s="69"/>
      <c r="K434" t="s">
        <v>1626</v>
      </c>
    </row>
    <row r="435" spans="1:11" x14ac:dyDescent="0.25">
      <c r="A435" s="5" t="s">
        <v>22</v>
      </c>
      <c r="B435" t="s">
        <v>118</v>
      </c>
      <c r="C435" s="9" t="s">
        <v>1867</v>
      </c>
      <c r="D435" t="s">
        <v>662</v>
      </c>
      <c r="E435">
        <v>0</v>
      </c>
      <c r="F435" t="s">
        <v>663</v>
      </c>
      <c r="G435" t="s">
        <v>1756</v>
      </c>
      <c r="H435" s="9">
        <v>62.5</v>
      </c>
      <c r="I435" s="8">
        <v>0</v>
      </c>
      <c r="J435" s="69"/>
      <c r="K435" t="s">
        <v>1626</v>
      </c>
    </row>
    <row r="436" spans="1:11" x14ac:dyDescent="0.25">
      <c r="A436" s="5" t="s">
        <v>22</v>
      </c>
      <c r="B436" t="s">
        <v>118</v>
      </c>
      <c r="C436" s="9">
        <v>244.61597222222221</v>
      </c>
      <c r="D436" t="s">
        <v>560</v>
      </c>
      <c r="E436">
        <v>0</v>
      </c>
      <c r="F436" t="s">
        <v>561</v>
      </c>
      <c r="G436" t="s">
        <v>1699</v>
      </c>
      <c r="H436" s="9" t="s">
        <v>66</v>
      </c>
      <c r="I436" s="8">
        <v>0</v>
      </c>
      <c r="J436" s="69"/>
      <c r="K436" t="s">
        <v>1626</v>
      </c>
    </row>
    <row r="437" spans="1:11" x14ac:dyDescent="0.25">
      <c r="A437" s="5" t="s">
        <v>22</v>
      </c>
      <c r="B437" t="s">
        <v>118</v>
      </c>
      <c r="C437" s="9">
        <v>44.664583333333333</v>
      </c>
      <c r="D437" t="s">
        <v>211</v>
      </c>
      <c r="E437">
        <v>0</v>
      </c>
      <c r="F437" t="s">
        <v>212</v>
      </c>
      <c r="G437" t="s">
        <v>1699</v>
      </c>
      <c r="H437" s="9">
        <v>104.16666666666667</v>
      </c>
      <c r="I437" s="8">
        <v>0</v>
      </c>
      <c r="J437" s="69"/>
      <c r="K437" t="s">
        <v>1626</v>
      </c>
    </row>
    <row r="438" spans="1:11" x14ac:dyDescent="0.25">
      <c r="A438" s="5" t="s">
        <v>22</v>
      </c>
      <c r="B438" t="s">
        <v>118</v>
      </c>
      <c r="C438" s="9">
        <v>287.33958333333334</v>
      </c>
      <c r="D438" t="s">
        <v>814</v>
      </c>
      <c r="E438">
        <v>0</v>
      </c>
      <c r="F438" t="s">
        <v>815</v>
      </c>
      <c r="G438" t="s">
        <v>1678</v>
      </c>
      <c r="H438" s="9">
        <v>291.66666666666669</v>
      </c>
      <c r="I438" s="8">
        <v>0</v>
      </c>
      <c r="J438" s="69"/>
      <c r="K438" t="s">
        <v>1626</v>
      </c>
    </row>
    <row r="439" spans="1:11" x14ac:dyDescent="0.25">
      <c r="A439" s="5" t="s">
        <v>22</v>
      </c>
      <c r="B439" t="s">
        <v>118</v>
      </c>
      <c r="C439" s="9">
        <v>2.4187500000000002</v>
      </c>
      <c r="D439" t="s">
        <v>157</v>
      </c>
      <c r="E439">
        <v>0</v>
      </c>
      <c r="F439" t="s">
        <v>158</v>
      </c>
      <c r="G439" t="s">
        <v>1678</v>
      </c>
      <c r="H439" s="9">
        <v>8.3333333333333339</v>
      </c>
      <c r="I439" s="8">
        <v>0</v>
      </c>
      <c r="J439" s="69"/>
      <c r="K439" t="s">
        <v>1626</v>
      </c>
    </row>
    <row r="440" spans="1:11" x14ac:dyDescent="0.25">
      <c r="A440" s="5" t="s">
        <v>22</v>
      </c>
      <c r="B440" t="s">
        <v>118</v>
      </c>
      <c r="C440" s="9" t="s">
        <v>1868</v>
      </c>
      <c r="D440" t="s">
        <v>814</v>
      </c>
      <c r="E440">
        <v>0</v>
      </c>
      <c r="F440" t="s">
        <v>815</v>
      </c>
      <c r="G440" t="s">
        <v>1679</v>
      </c>
      <c r="H440" s="9">
        <v>291.66666666666669</v>
      </c>
      <c r="I440" s="8">
        <v>0</v>
      </c>
      <c r="J440" s="69"/>
      <c r="K440" t="s">
        <v>1626</v>
      </c>
    </row>
    <row r="441" spans="1:11" x14ac:dyDescent="0.25">
      <c r="A441" s="5" t="s">
        <v>22</v>
      </c>
      <c r="B441" t="s">
        <v>118</v>
      </c>
      <c r="C441" s="9">
        <v>2.4187500000000002</v>
      </c>
      <c r="D441" t="s">
        <v>157</v>
      </c>
      <c r="E441">
        <v>0</v>
      </c>
      <c r="F441" t="s">
        <v>158</v>
      </c>
      <c r="G441" t="s">
        <v>1679</v>
      </c>
      <c r="H441" s="9">
        <v>8.3333333333333339</v>
      </c>
      <c r="I441" s="8">
        <v>0</v>
      </c>
      <c r="J441" s="69"/>
      <c r="K441" t="s">
        <v>1626</v>
      </c>
    </row>
    <row r="442" spans="1:11" x14ac:dyDescent="0.25">
      <c r="A442" s="5" t="s">
        <v>22</v>
      </c>
      <c r="B442" t="s">
        <v>118</v>
      </c>
      <c r="C442" s="9" t="s">
        <v>1869</v>
      </c>
      <c r="D442" t="s">
        <v>814</v>
      </c>
      <c r="E442">
        <v>0</v>
      </c>
      <c r="F442" t="s">
        <v>815</v>
      </c>
      <c r="G442" t="s">
        <v>1680</v>
      </c>
      <c r="H442" s="9">
        <v>291.66666666666669</v>
      </c>
      <c r="I442" s="8">
        <v>0</v>
      </c>
      <c r="J442" s="69"/>
      <c r="K442" t="s">
        <v>1626</v>
      </c>
    </row>
    <row r="443" spans="1:11" x14ac:dyDescent="0.25">
      <c r="A443" s="5" t="s">
        <v>22</v>
      </c>
      <c r="B443" t="s">
        <v>118</v>
      </c>
      <c r="C443" s="9">
        <v>2.4187500000000002</v>
      </c>
      <c r="D443" t="s">
        <v>157</v>
      </c>
      <c r="E443">
        <v>0</v>
      </c>
      <c r="F443" t="s">
        <v>158</v>
      </c>
      <c r="G443" t="s">
        <v>1680</v>
      </c>
      <c r="H443" s="9">
        <v>8.3333333333333339</v>
      </c>
      <c r="I443" s="8">
        <v>0</v>
      </c>
      <c r="J443" s="69"/>
      <c r="K443" t="s">
        <v>1626</v>
      </c>
    </row>
    <row r="444" spans="1:11" x14ac:dyDescent="0.25">
      <c r="A444" s="5" t="s">
        <v>22</v>
      </c>
      <c r="B444" t="s">
        <v>118</v>
      </c>
      <c r="C444" s="9">
        <v>249.17291666666668</v>
      </c>
      <c r="D444" t="s">
        <v>597</v>
      </c>
      <c r="E444">
        <v>0</v>
      </c>
      <c r="F444" t="s">
        <v>598</v>
      </c>
      <c r="G444" t="s">
        <v>1659</v>
      </c>
      <c r="H444" t="s">
        <v>599</v>
      </c>
      <c r="I444" s="8">
        <v>0</v>
      </c>
      <c r="J444" s="69"/>
      <c r="K444" t="s">
        <v>1626</v>
      </c>
    </row>
    <row r="445" spans="1:11" x14ac:dyDescent="0.25">
      <c r="A445" s="5" t="s">
        <v>22</v>
      </c>
      <c r="B445" t="s">
        <v>118</v>
      </c>
      <c r="C445" s="9">
        <v>2.2840277777777778</v>
      </c>
      <c r="D445" t="s">
        <v>199</v>
      </c>
      <c r="E445">
        <v>0</v>
      </c>
      <c r="F445" t="s">
        <v>200</v>
      </c>
      <c r="G445" t="s">
        <v>1659</v>
      </c>
      <c r="H445" s="9">
        <v>4.166666666666667</v>
      </c>
      <c r="I445" s="8">
        <v>0</v>
      </c>
      <c r="J445" s="69"/>
      <c r="K445" t="s">
        <v>1626</v>
      </c>
    </row>
    <row r="446" spans="1:11" x14ac:dyDescent="0.25">
      <c r="A446" s="5" t="s">
        <v>22</v>
      </c>
      <c r="B446" t="s">
        <v>118</v>
      </c>
      <c r="C446" s="9">
        <v>124.72013888888888</v>
      </c>
      <c r="D446" t="s">
        <v>502</v>
      </c>
      <c r="E446">
        <v>0</v>
      </c>
      <c r="F446" t="s">
        <v>503</v>
      </c>
      <c r="G446" t="s">
        <v>1660</v>
      </c>
      <c r="H446" s="9">
        <v>291.66666666666669</v>
      </c>
      <c r="I446" s="8">
        <v>0</v>
      </c>
      <c r="J446" s="69"/>
      <c r="K446" t="s">
        <v>1626</v>
      </c>
    </row>
    <row r="447" spans="1:11" x14ac:dyDescent="0.25">
      <c r="A447" s="5" t="s">
        <v>22</v>
      </c>
      <c r="B447" t="s">
        <v>118</v>
      </c>
      <c r="C447" s="9">
        <v>124.72013888888888</v>
      </c>
      <c r="D447" t="s">
        <v>439</v>
      </c>
      <c r="E447">
        <v>0</v>
      </c>
      <c r="F447" t="s">
        <v>440</v>
      </c>
      <c r="G447" t="s">
        <v>1660</v>
      </c>
      <c r="H447" s="9">
        <v>291.66666666666669</v>
      </c>
      <c r="I447" s="8">
        <v>0</v>
      </c>
      <c r="J447" s="69"/>
      <c r="K447" t="s">
        <v>1626</v>
      </c>
    </row>
    <row r="448" spans="1:11" x14ac:dyDescent="0.25">
      <c r="A448" s="5" t="s">
        <v>22</v>
      </c>
      <c r="B448" t="s">
        <v>118</v>
      </c>
      <c r="C448" s="9" t="s">
        <v>1870</v>
      </c>
      <c r="D448" t="s">
        <v>721</v>
      </c>
      <c r="E448">
        <v>0</v>
      </c>
      <c r="F448" t="s">
        <v>722</v>
      </c>
      <c r="G448" t="s">
        <v>1660</v>
      </c>
      <c r="H448" s="9">
        <v>291.66666666666669</v>
      </c>
      <c r="I448" s="8">
        <v>0</v>
      </c>
      <c r="J448" s="69"/>
      <c r="K448" t="s">
        <v>1626</v>
      </c>
    </row>
    <row r="449" spans="1:11" x14ac:dyDescent="0.25">
      <c r="A449" s="5" t="s">
        <v>22</v>
      </c>
      <c r="B449" t="s">
        <v>118</v>
      </c>
      <c r="C449" s="9" t="s">
        <v>1870</v>
      </c>
      <c r="D449" t="s">
        <v>716</v>
      </c>
      <c r="E449">
        <v>0</v>
      </c>
      <c r="F449" t="s">
        <v>717</v>
      </c>
      <c r="G449" t="s">
        <v>1660</v>
      </c>
      <c r="H449" s="9">
        <v>291.66666666666669</v>
      </c>
      <c r="I449" s="8">
        <v>0</v>
      </c>
      <c r="J449" s="69"/>
      <c r="K449" t="s">
        <v>1626</v>
      </c>
    </row>
    <row r="450" spans="1:11" x14ac:dyDescent="0.25">
      <c r="A450" s="5" t="s">
        <v>22</v>
      </c>
      <c r="B450" t="s">
        <v>118</v>
      </c>
      <c r="C450" s="9" t="s">
        <v>1870</v>
      </c>
      <c r="D450" t="s">
        <v>718</v>
      </c>
      <c r="E450">
        <v>0</v>
      </c>
      <c r="F450" t="s">
        <v>717</v>
      </c>
      <c r="G450" t="s">
        <v>1660</v>
      </c>
      <c r="H450" s="9">
        <v>291.66666666666669</v>
      </c>
      <c r="I450" s="8">
        <v>0</v>
      </c>
      <c r="J450" s="69"/>
      <c r="K450" t="s">
        <v>1626</v>
      </c>
    </row>
    <row r="451" spans="1:11" x14ac:dyDescent="0.25">
      <c r="A451" s="5" t="s">
        <v>22</v>
      </c>
      <c r="B451" t="s">
        <v>118</v>
      </c>
      <c r="C451" t="s">
        <v>1870</v>
      </c>
      <c r="D451" t="s">
        <v>719</v>
      </c>
      <c r="E451">
        <v>0</v>
      </c>
      <c r="F451" t="s">
        <v>717</v>
      </c>
      <c r="G451" t="s">
        <v>1660</v>
      </c>
      <c r="H451" s="9">
        <v>291.66666666666669</v>
      </c>
      <c r="I451" s="8">
        <v>0</v>
      </c>
      <c r="J451" s="69"/>
      <c r="K451" t="s">
        <v>1626</v>
      </c>
    </row>
    <row r="452" spans="1:11" x14ac:dyDescent="0.25">
      <c r="A452" s="5" t="s">
        <v>22</v>
      </c>
      <c r="B452" t="s">
        <v>118</v>
      </c>
      <c r="C452" t="s">
        <v>1870</v>
      </c>
      <c r="D452" t="s">
        <v>720</v>
      </c>
      <c r="E452">
        <v>0</v>
      </c>
      <c r="F452" t="s">
        <v>717</v>
      </c>
      <c r="G452" t="s">
        <v>1660</v>
      </c>
      <c r="H452" s="9">
        <v>291.66666666666669</v>
      </c>
      <c r="I452" s="8">
        <v>0</v>
      </c>
      <c r="J452" s="69"/>
      <c r="K452" t="s">
        <v>1626</v>
      </c>
    </row>
    <row r="453" spans="1:11" x14ac:dyDescent="0.25">
      <c r="A453" s="5" t="s">
        <v>22</v>
      </c>
      <c r="B453" t="s">
        <v>118</v>
      </c>
      <c r="C453" s="9">
        <v>58.644444444444446</v>
      </c>
      <c r="D453" t="s">
        <v>457</v>
      </c>
      <c r="E453">
        <v>0</v>
      </c>
      <c r="F453" t="s">
        <v>458</v>
      </c>
      <c r="G453" t="s">
        <v>1660</v>
      </c>
      <c r="H453" s="9">
        <v>291.66666666666669</v>
      </c>
      <c r="I453" s="8">
        <v>0</v>
      </c>
      <c r="J453" s="69"/>
      <c r="K453" t="s">
        <v>1626</v>
      </c>
    </row>
    <row r="454" spans="1:11" x14ac:dyDescent="0.25">
      <c r="A454" s="5" t="s">
        <v>22</v>
      </c>
      <c r="B454" t="s">
        <v>118</v>
      </c>
      <c r="C454" s="9">
        <v>261.85763888888891</v>
      </c>
      <c r="D454" t="s">
        <v>562</v>
      </c>
      <c r="E454">
        <v>0</v>
      </c>
      <c r="F454" t="s">
        <v>563</v>
      </c>
      <c r="G454" t="s">
        <v>1660</v>
      </c>
      <c r="H454" s="9">
        <v>291.66666666666669</v>
      </c>
      <c r="I454" s="8">
        <v>0</v>
      </c>
      <c r="J454" s="69"/>
      <c r="K454" t="s">
        <v>1626</v>
      </c>
    </row>
    <row r="455" spans="1:11" x14ac:dyDescent="0.25">
      <c r="A455" s="5" t="s">
        <v>22</v>
      </c>
      <c r="B455" t="s">
        <v>118</v>
      </c>
      <c r="C455" s="9">
        <v>124.72013888888888</v>
      </c>
      <c r="D455" t="s">
        <v>504</v>
      </c>
      <c r="E455">
        <v>0</v>
      </c>
      <c r="F455" t="s">
        <v>505</v>
      </c>
      <c r="G455" t="s">
        <v>1660</v>
      </c>
      <c r="H455" s="9">
        <v>291.66666666666669</v>
      </c>
      <c r="I455" s="8">
        <v>0</v>
      </c>
      <c r="J455" s="69"/>
      <c r="K455" t="s">
        <v>1626</v>
      </c>
    </row>
    <row r="456" spans="1:11" x14ac:dyDescent="0.25">
      <c r="A456" s="5" t="s">
        <v>22</v>
      </c>
      <c r="B456" t="s">
        <v>118</v>
      </c>
      <c r="C456" s="9">
        <v>261.85763888888891</v>
      </c>
      <c r="D456" t="s">
        <v>543</v>
      </c>
      <c r="E456">
        <v>0</v>
      </c>
      <c r="F456" t="s">
        <v>544</v>
      </c>
      <c r="G456" t="s">
        <v>1660</v>
      </c>
      <c r="H456" s="9">
        <v>291.66666666666669</v>
      </c>
      <c r="I456" s="8">
        <v>0</v>
      </c>
      <c r="J456" s="69"/>
      <c r="K456" t="s">
        <v>1626</v>
      </c>
    </row>
    <row r="457" spans="1:11" x14ac:dyDescent="0.25">
      <c r="A457" s="5" t="s">
        <v>22</v>
      </c>
      <c r="B457" t="s">
        <v>118</v>
      </c>
      <c r="C457" s="9">
        <v>6.4506944444444443</v>
      </c>
      <c r="D457" t="s">
        <v>243</v>
      </c>
      <c r="E457">
        <v>0</v>
      </c>
      <c r="F457" t="s">
        <v>244</v>
      </c>
      <c r="G457" t="s">
        <v>1660</v>
      </c>
      <c r="H457" s="9">
        <v>8.3333333333333339</v>
      </c>
      <c r="I457" s="8">
        <v>0</v>
      </c>
      <c r="J457" s="69"/>
      <c r="K457" t="s">
        <v>1626</v>
      </c>
    </row>
    <row r="458" spans="1:11" x14ac:dyDescent="0.25">
      <c r="A458" s="5" t="s">
        <v>22</v>
      </c>
      <c r="B458" t="s">
        <v>118</v>
      </c>
      <c r="C458" s="9">
        <v>145.05277777777778</v>
      </c>
      <c r="D458" t="s">
        <v>522</v>
      </c>
      <c r="E458">
        <v>0</v>
      </c>
      <c r="F458" t="s">
        <v>523</v>
      </c>
      <c r="G458" t="s">
        <v>1725</v>
      </c>
      <c r="H458" s="9">
        <v>291.66666666666669</v>
      </c>
      <c r="I458" s="8">
        <v>0</v>
      </c>
      <c r="J458" s="69"/>
      <c r="K458" t="s">
        <v>1626</v>
      </c>
    </row>
    <row r="459" spans="1:11" x14ac:dyDescent="0.25">
      <c r="A459" s="5" t="s">
        <v>22</v>
      </c>
      <c r="B459" t="s">
        <v>118</v>
      </c>
      <c r="C459" s="9">
        <v>92.213888888888889</v>
      </c>
      <c r="D459" t="s">
        <v>443</v>
      </c>
      <c r="E459">
        <v>0</v>
      </c>
      <c r="F459" t="s">
        <v>444</v>
      </c>
      <c r="G459" t="s">
        <v>1716</v>
      </c>
      <c r="H459" s="9">
        <v>291.66666666666669</v>
      </c>
      <c r="I459" s="8">
        <v>0</v>
      </c>
      <c r="J459" s="69"/>
      <c r="K459" t="s">
        <v>1626</v>
      </c>
    </row>
    <row r="460" spans="1:11" x14ac:dyDescent="0.25">
      <c r="A460" s="5" t="s">
        <v>22</v>
      </c>
      <c r="B460" t="s">
        <v>118</v>
      </c>
      <c r="C460" t="s">
        <v>1871</v>
      </c>
      <c r="D460" t="s">
        <v>597</v>
      </c>
      <c r="E460">
        <v>0</v>
      </c>
      <c r="F460" t="s">
        <v>598</v>
      </c>
      <c r="G460" t="s">
        <v>1676</v>
      </c>
      <c r="H460" t="s">
        <v>599</v>
      </c>
      <c r="I460" s="8">
        <v>0</v>
      </c>
      <c r="J460" s="69"/>
      <c r="K460" t="s">
        <v>1626</v>
      </c>
    </row>
    <row r="461" spans="1:11" x14ac:dyDescent="0.25">
      <c r="A461" s="5" t="s">
        <v>22</v>
      </c>
      <c r="B461" t="s">
        <v>118</v>
      </c>
      <c r="C461" s="9">
        <v>2.2840277777777778</v>
      </c>
      <c r="D461" t="s">
        <v>199</v>
      </c>
      <c r="E461">
        <v>0</v>
      </c>
      <c r="F461" t="s">
        <v>200</v>
      </c>
      <c r="G461" t="s">
        <v>1676</v>
      </c>
      <c r="H461" s="9">
        <v>4.166666666666667</v>
      </c>
      <c r="I461" s="8">
        <v>0</v>
      </c>
      <c r="J461" s="69"/>
      <c r="K461" t="s">
        <v>1626</v>
      </c>
    </row>
    <row r="462" spans="1:11" x14ac:dyDescent="0.25">
      <c r="A462" s="5" t="s">
        <v>22</v>
      </c>
      <c r="B462" t="s">
        <v>118</v>
      </c>
      <c r="C462" t="s">
        <v>1872</v>
      </c>
      <c r="D462" t="s">
        <v>799</v>
      </c>
      <c r="E462">
        <v>0</v>
      </c>
      <c r="F462" t="s">
        <v>800</v>
      </c>
      <c r="G462" t="s">
        <v>1667</v>
      </c>
      <c r="H462" t="s">
        <v>38</v>
      </c>
      <c r="I462" s="8">
        <v>0</v>
      </c>
      <c r="J462" s="69"/>
      <c r="K462" t="s">
        <v>1626</v>
      </c>
    </row>
    <row r="463" spans="1:11" x14ac:dyDescent="0.25">
      <c r="A463" s="5" t="s">
        <v>22</v>
      </c>
      <c r="B463" t="s">
        <v>118</v>
      </c>
      <c r="C463" s="9">
        <v>32.413194444444443</v>
      </c>
      <c r="D463" t="s">
        <v>464</v>
      </c>
      <c r="E463">
        <v>0</v>
      </c>
      <c r="F463" t="s">
        <v>465</v>
      </c>
      <c r="G463" t="s">
        <v>1667</v>
      </c>
      <c r="H463" t="s">
        <v>463</v>
      </c>
      <c r="I463" s="8">
        <v>0</v>
      </c>
      <c r="J463" s="69"/>
      <c r="K463" t="s">
        <v>1626</v>
      </c>
    </row>
    <row r="464" spans="1:11" x14ac:dyDescent="0.25">
      <c r="A464" s="5" t="s">
        <v>22</v>
      </c>
      <c r="B464" t="s">
        <v>118</v>
      </c>
      <c r="C464" s="9">
        <v>21.094444444444445</v>
      </c>
      <c r="D464" t="s">
        <v>461</v>
      </c>
      <c r="E464">
        <v>0</v>
      </c>
      <c r="F464" t="s">
        <v>462</v>
      </c>
      <c r="G464" t="s">
        <v>1667</v>
      </c>
      <c r="H464" t="s">
        <v>463</v>
      </c>
      <c r="I464" s="8">
        <v>0</v>
      </c>
      <c r="J464" s="69"/>
      <c r="K464" t="s">
        <v>1626</v>
      </c>
    </row>
    <row r="465" spans="1:11" x14ac:dyDescent="0.25">
      <c r="A465" s="5" t="s">
        <v>22</v>
      </c>
      <c r="B465" t="s">
        <v>118</v>
      </c>
      <c r="C465" t="s">
        <v>1873</v>
      </c>
      <c r="D465" t="s">
        <v>810</v>
      </c>
      <c r="E465">
        <v>0</v>
      </c>
      <c r="F465" t="s">
        <v>811</v>
      </c>
      <c r="G465" t="s">
        <v>1667</v>
      </c>
      <c r="H465" t="s">
        <v>66</v>
      </c>
      <c r="I465" s="8">
        <v>0</v>
      </c>
      <c r="J465" s="69"/>
      <c r="K465" t="s">
        <v>1626</v>
      </c>
    </row>
    <row r="466" spans="1:11" x14ac:dyDescent="0.25">
      <c r="A466" s="5" t="s">
        <v>22</v>
      </c>
      <c r="B466" t="s">
        <v>118</v>
      </c>
      <c r="C466" t="s">
        <v>1874</v>
      </c>
      <c r="D466" t="s">
        <v>808</v>
      </c>
      <c r="E466">
        <v>0</v>
      </c>
      <c r="F466" t="s">
        <v>809</v>
      </c>
      <c r="G466" t="s">
        <v>1667</v>
      </c>
      <c r="H466" t="s">
        <v>577</v>
      </c>
      <c r="I466" s="8">
        <v>0</v>
      </c>
      <c r="J466" s="69"/>
      <c r="K466" t="s">
        <v>1626</v>
      </c>
    </row>
    <row r="467" spans="1:11" x14ac:dyDescent="0.25">
      <c r="A467" s="5" t="s">
        <v>22</v>
      </c>
      <c r="B467" t="s">
        <v>118</v>
      </c>
      <c r="C467" t="s">
        <v>1875</v>
      </c>
      <c r="D467" t="s">
        <v>805</v>
      </c>
      <c r="E467">
        <v>0</v>
      </c>
      <c r="F467" t="s">
        <v>806</v>
      </c>
      <c r="G467" t="s">
        <v>1667</v>
      </c>
      <c r="H467" t="s">
        <v>807</v>
      </c>
      <c r="I467" s="8">
        <v>0</v>
      </c>
      <c r="J467" s="69"/>
      <c r="K467" t="s">
        <v>1626</v>
      </c>
    </row>
    <row r="468" spans="1:11" x14ac:dyDescent="0.25">
      <c r="A468" s="5" t="s">
        <v>22</v>
      </c>
      <c r="B468" t="s">
        <v>118</v>
      </c>
      <c r="C468" t="s">
        <v>1876</v>
      </c>
      <c r="D468" t="s">
        <v>812</v>
      </c>
      <c r="E468">
        <v>0</v>
      </c>
      <c r="F468" t="s">
        <v>813</v>
      </c>
      <c r="G468" t="s">
        <v>1667</v>
      </c>
      <c r="H468" t="s">
        <v>66</v>
      </c>
      <c r="I468" s="8">
        <v>0</v>
      </c>
      <c r="J468" s="69"/>
      <c r="K468" t="s">
        <v>1626</v>
      </c>
    </row>
    <row r="469" spans="1:11" x14ac:dyDescent="0.25">
      <c r="A469" s="5" t="s">
        <v>22</v>
      </c>
      <c r="B469" t="s">
        <v>118</v>
      </c>
      <c r="C469" s="9">
        <v>274.12638888888887</v>
      </c>
      <c r="D469" t="s">
        <v>578</v>
      </c>
      <c r="E469">
        <v>0</v>
      </c>
      <c r="F469" t="s">
        <v>579</v>
      </c>
      <c r="G469" t="s">
        <v>1667</v>
      </c>
      <c r="H469" t="s">
        <v>66</v>
      </c>
      <c r="I469" s="8">
        <v>0</v>
      </c>
      <c r="J469" s="69"/>
      <c r="K469" t="s">
        <v>1626</v>
      </c>
    </row>
    <row r="470" spans="1:11" x14ac:dyDescent="0.25">
      <c r="A470" s="5" t="s">
        <v>22</v>
      </c>
      <c r="B470" t="s">
        <v>118</v>
      </c>
      <c r="C470" s="9">
        <v>56.585416666666667</v>
      </c>
      <c r="D470" t="s">
        <v>398</v>
      </c>
      <c r="E470">
        <v>0</v>
      </c>
      <c r="F470" t="s">
        <v>399</v>
      </c>
      <c r="G470" t="s">
        <v>1667</v>
      </c>
      <c r="H470" s="9">
        <v>62.5</v>
      </c>
      <c r="I470" s="8">
        <v>0</v>
      </c>
      <c r="J470" s="69"/>
      <c r="K470" t="s">
        <v>1626</v>
      </c>
    </row>
    <row r="471" spans="1:11" x14ac:dyDescent="0.25">
      <c r="A471" s="5" t="s">
        <v>22</v>
      </c>
      <c r="B471" t="s">
        <v>118</v>
      </c>
      <c r="C471" s="9">
        <v>1.5215277777777778</v>
      </c>
      <c r="D471" t="s">
        <v>165</v>
      </c>
      <c r="E471">
        <v>0</v>
      </c>
      <c r="F471" t="s">
        <v>166</v>
      </c>
      <c r="G471" t="s">
        <v>1667</v>
      </c>
      <c r="H471" s="9">
        <v>2.0833333333333335</v>
      </c>
      <c r="I471" s="8">
        <v>0</v>
      </c>
      <c r="J471" s="69"/>
      <c r="K471" t="s">
        <v>1626</v>
      </c>
    </row>
    <row r="472" spans="1:11" x14ac:dyDescent="0.25">
      <c r="A472" s="5" t="s">
        <v>22</v>
      </c>
      <c r="B472" t="s">
        <v>118</v>
      </c>
      <c r="C472" s="9">
        <v>1.5215277777777778</v>
      </c>
      <c r="D472" t="s">
        <v>167</v>
      </c>
      <c r="E472">
        <v>0</v>
      </c>
      <c r="F472" t="s">
        <v>168</v>
      </c>
      <c r="G472" t="s">
        <v>1667</v>
      </c>
      <c r="H472" s="9">
        <v>2.0833333333333335</v>
      </c>
      <c r="I472" s="8">
        <v>0</v>
      </c>
      <c r="J472" s="69"/>
      <c r="K472" t="s">
        <v>1626</v>
      </c>
    </row>
    <row r="473" spans="1:11" x14ac:dyDescent="0.25">
      <c r="A473" s="5" t="s">
        <v>22</v>
      </c>
      <c r="B473" t="s">
        <v>118</v>
      </c>
      <c r="C473" s="9">
        <v>230.05208333333334</v>
      </c>
      <c r="D473" t="s">
        <v>551</v>
      </c>
      <c r="E473">
        <v>0</v>
      </c>
      <c r="F473" t="s">
        <v>552</v>
      </c>
      <c r="G473" t="s">
        <v>1670</v>
      </c>
      <c r="H473" t="s">
        <v>66</v>
      </c>
      <c r="I473" s="8">
        <v>0</v>
      </c>
      <c r="J473" s="69"/>
      <c r="K473" t="s">
        <v>1626</v>
      </c>
    </row>
    <row r="474" spans="1:11" x14ac:dyDescent="0.25">
      <c r="A474" s="5" t="s">
        <v>22</v>
      </c>
      <c r="B474" t="s">
        <v>118</v>
      </c>
      <c r="C474" s="9">
        <v>5.6881944444444441</v>
      </c>
      <c r="D474" t="s">
        <v>151</v>
      </c>
      <c r="E474">
        <v>0</v>
      </c>
      <c r="F474" t="s">
        <v>152</v>
      </c>
      <c r="G474" t="s">
        <v>1670</v>
      </c>
      <c r="H474" s="9">
        <v>6.25</v>
      </c>
      <c r="I474" s="8">
        <v>0</v>
      </c>
      <c r="J474" s="69"/>
      <c r="K474" t="s">
        <v>1626</v>
      </c>
    </row>
    <row r="475" spans="1:11" x14ac:dyDescent="0.25">
      <c r="A475" s="5" t="s">
        <v>22</v>
      </c>
      <c r="B475" t="s">
        <v>118</v>
      </c>
      <c r="C475" s="9">
        <v>12.572916666666666</v>
      </c>
      <c r="D475" t="s">
        <v>320</v>
      </c>
      <c r="E475">
        <v>0</v>
      </c>
      <c r="F475" t="s">
        <v>321</v>
      </c>
      <c r="G475" t="s">
        <v>1670</v>
      </c>
      <c r="H475" s="9">
        <v>25</v>
      </c>
      <c r="I475" s="8">
        <v>0</v>
      </c>
      <c r="J475" s="69"/>
      <c r="K475" t="s">
        <v>1626</v>
      </c>
    </row>
    <row r="476" spans="1:11" x14ac:dyDescent="0.25">
      <c r="A476" s="5" t="s">
        <v>22</v>
      </c>
      <c r="B476" t="s">
        <v>118</v>
      </c>
      <c r="C476" s="9">
        <v>5.6881944444444441</v>
      </c>
      <c r="D476" t="s">
        <v>153</v>
      </c>
      <c r="E476">
        <v>0</v>
      </c>
      <c r="F476" t="s">
        <v>154</v>
      </c>
      <c r="G476" t="s">
        <v>1670</v>
      </c>
      <c r="H476" s="9">
        <v>6.25</v>
      </c>
      <c r="I476" s="8">
        <v>0</v>
      </c>
      <c r="J476" s="69"/>
      <c r="K476" t="s">
        <v>1626</v>
      </c>
    </row>
    <row r="477" spans="1:11" x14ac:dyDescent="0.25">
      <c r="A477" s="5" t="s">
        <v>22</v>
      </c>
      <c r="B477" t="s">
        <v>118</v>
      </c>
      <c r="C477" s="9">
        <v>12.572916666666666</v>
      </c>
      <c r="D477" t="s">
        <v>181</v>
      </c>
      <c r="E477">
        <v>0</v>
      </c>
      <c r="F477" t="s">
        <v>182</v>
      </c>
      <c r="G477" t="s">
        <v>1670</v>
      </c>
      <c r="H477" s="9">
        <v>25</v>
      </c>
      <c r="I477" s="8">
        <v>0</v>
      </c>
      <c r="J477" s="69"/>
      <c r="K477" t="s">
        <v>1626</v>
      </c>
    </row>
    <row r="478" spans="1:11" x14ac:dyDescent="0.25">
      <c r="A478" s="5" t="s">
        <v>22</v>
      </c>
      <c r="B478" t="s">
        <v>118</v>
      </c>
      <c r="C478" s="9">
        <v>225.60972222222222</v>
      </c>
      <c r="D478" t="s">
        <v>580</v>
      </c>
      <c r="E478">
        <v>0</v>
      </c>
      <c r="F478" t="s">
        <v>581</v>
      </c>
      <c r="G478" t="s">
        <v>1730</v>
      </c>
      <c r="H478" s="9">
        <v>62.5</v>
      </c>
      <c r="I478" s="8">
        <v>0</v>
      </c>
      <c r="J478" s="69"/>
      <c r="K478" t="s">
        <v>1626</v>
      </c>
    </row>
    <row r="479" spans="1:11" x14ac:dyDescent="0.25">
      <c r="A479" s="5" t="s">
        <v>22</v>
      </c>
      <c r="B479" t="s">
        <v>118</v>
      </c>
      <c r="C479" s="9">
        <v>5.7</v>
      </c>
      <c r="D479" t="s">
        <v>251</v>
      </c>
      <c r="E479">
        <v>0</v>
      </c>
      <c r="F479" t="s">
        <v>252</v>
      </c>
      <c r="G479" t="s">
        <v>1686</v>
      </c>
      <c r="H479" s="9">
        <v>20.833333333333332</v>
      </c>
      <c r="I479" s="8">
        <v>0</v>
      </c>
      <c r="J479" s="69"/>
      <c r="K479" t="s">
        <v>1626</v>
      </c>
    </row>
    <row r="480" spans="1:11" x14ac:dyDescent="0.25">
      <c r="A480" s="5" t="s">
        <v>22</v>
      </c>
      <c r="B480" t="s">
        <v>118</v>
      </c>
      <c r="C480" s="9">
        <v>26.533333333333335</v>
      </c>
      <c r="D480" t="s">
        <v>389</v>
      </c>
      <c r="E480">
        <v>0</v>
      </c>
      <c r="F480" t="s">
        <v>390</v>
      </c>
      <c r="G480" t="s">
        <v>1686</v>
      </c>
      <c r="H480" s="9">
        <v>41.666666666666664</v>
      </c>
      <c r="I480" s="8">
        <v>0</v>
      </c>
      <c r="J480" s="69"/>
      <c r="K480" t="s">
        <v>1626</v>
      </c>
    </row>
    <row r="481" spans="1:11" x14ac:dyDescent="0.25">
      <c r="A481" s="5" t="s">
        <v>22</v>
      </c>
      <c r="B481" t="s">
        <v>118</v>
      </c>
      <c r="C481" t="s">
        <v>1877</v>
      </c>
      <c r="D481" t="s">
        <v>682</v>
      </c>
      <c r="E481">
        <v>0</v>
      </c>
      <c r="F481" t="s">
        <v>683</v>
      </c>
      <c r="G481" t="s">
        <v>1668</v>
      </c>
      <c r="H481" s="9">
        <v>333.33333333333331</v>
      </c>
      <c r="I481" s="8">
        <v>0</v>
      </c>
      <c r="J481" s="69"/>
      <c r="K481" t="s">
        <v>1626</v>
      </c>
    </row>
    <row r="482" spans="1:11" x14ac:dyDescent="0.25">
      <c r="A482" s="5" t="s">
        <v>22</v>
      </c>
      <c r="B482" t="s">
        <v>118</v>
      </c>
      <c r="C482" t="s">
        <v>1878</v>
      </c>
      <c r="D482" t="s">
        <v>788</v>
      </c>
      <c r="E482">
        <v>0</v>
      </c>
      <c r="F482" t="s">
        <v>789</v>
      </c>
      <c r="G482" t="s">
        <v>1668</v>
      </c>
      <c r="H482" t="s">
        <v>790</v>
      </c>
      <c r="I482" s="8">
        <v>0</v>
      </c>
      <c r="J482" s="69"/>
      <c r="K482" t="s">
        <v>1626</v>
      </c>
    </row>
    <row r="483" spans="1:11" x14ac:dyDescent="0.25">
      <c r="A483" s="5" t="s">
        <v>22</v>
      </c>
      <c r="B483" t="s">
        <v>118</v>
      </c>
      <c r="C483" t="s">
        <v>1879</v>
      </c>
      <c r="D483" t="s">
        <v>793</v>
      </c>
      <c r="E483">
        <v>0</v>
      </c>
      <c r="F483" t="s">
        <v>794</v>
      </c>
      <c r="G483" t="s">
        <v>1668</v>
      </c>
      <c r="H483" s="9">
        <v>250</v>
      </c>
      <c r="I483" s="8">
        <v>0</v>
      </c>
      <c r="J483" s="69"/>
      <c r="K483" t="s">
        <v>1626</v>
      </c>
    </row>
    <row r="484" spans="1:11" x14ac:dyDescent="0.25">
      <c r="A484" s="5" t="s">
        <v>22</v>
      </c>
      <c r="B484" t="s">
        <v>118</v>
      </c>
      <c r="C484" s="9">
        <v>228.36111111111111</v>
      </c>
      <c r="D484" t="s">
        <v>571</v>
      </c>
      <c r="E484">
        <v>0</v>
      </c>
      <c r="F484" t="s">
        <v>572</v>
      </c>
      <c r="G484" t="s">
        <v>1668</v>
      </c>
      <c r="H484" s="9">
        <v>83.333333333333329</v>
      </c>
      <c r="I484" s="8">
        <v>0</v>
      </c>
      <c r="J484" s="69"/>
      <c r="K484" t="s">
        <v>1626</v>
      </c>
    </row>
    <row r="485" spans="1:11" x14ac:dyDescent="0.25">
      <c r="A485" s="5" t="s">
        <v>22</v>
      </c>
      <c r="B485" t="s">
        <v>118</v>
      </c>
      <c r="C485" s="9">
        <v>237.46111111111111</v>
      </c>
      <c r="D485" t="s">
        <v>582</v>
      </c>
      <c r="E485">
        <v>0</v>
      </c>
      <c r="F485" t="s">
        <v>583</v>
      </c>
      <c r="G485" t="s">
        <v>1668</v>
      </c>
      <c r="H485" s="9">
        <v>83.333333333333329</v>
      </c>
      <c r="I485" s="8">
        <v>0</v>
      </c>
      <c r="J485" s="69"/>
      <c r="K485" t="s">
        <v>1626</v>
      </c>
    </row>
    <row r="486" spans="1:11" x14ac:dyDescent="0.25">
      <c r="A486" s="5" t="s">
        <v>22</v>
      </c>
      <c r="B486" t="s">
        <v>118</v>
      </c>
      <c r="C486" s="9">
        <v>237.46111111111111</v>
      </c>
      <c r="D486" t="s">
        <v>584</v>
      </c>
      <c r="E486">
        <v>0</v>
      </c>
      <c r="F486" t="s">
        <v>585</v>
      </c>
      <c r="G486" t="s">
        <v>1668</v>
      </c>
      <c r="H486" s="9">
        <v>83.333333333333329</v>
      </c>
      <c r="I486" s="8">
        <v>0</v>
      </c>
      <c r="J486" s="69"/>
      <c r="K486" t="s">
        <v>1626</v>
      </c>
    </row>
    <row r="487" spans="1:11" x14ac:dyDescent="0.25">
      <c r="A487" s="5" t="s">
        <v>22</v>
      </c>
      <c r="B487" t="s">
        <v>118</v>
      </c>
      <c r="C487" t="s">
        <v>1879</v>
      </c>
      <c r="D487" t="s">
        <v>795</v>
      </c>
      <c r="E487">
        <v>0</v>
      </c>
      <c r="F487" t="s">
        <v>796</v>
      </c>
      <c r="G487" t="s">
        <v>1668</v>
      </c>
      <c r="H487" s="9">
        <v>83.333333333333329</v>
      </c>
      <c r="I487" s="8">
        <v>0</v>
      </c>
      <c r="J487" s="69"/>
      <c r="K487" t="s">
        <v>1626</v>
      </c>
    </row>
    <row r="488" spans="1:11" x14ac:dyDescent="0.25">
      <c r="A488" s="5" t="s">
        <v>22</v>
      </c>
      <c r="B488" t="s">
        <v>118</v>
      </c>
      <c r="C488" t="s">
        <v>1841</v>
      </c>
      <c r="D488" t="s">
        <v>830</v>
      </c>
      <c r="E488">
        <v>0</v>
      </c>
      <c r="F488" t="s">
        <v>831</v>
      </c>
      <c r="G488" t="s">
        <v>1668</v>
      </c>
      <c r="H488" s="9">
        <v>83.333333333333329</v>
      </c>
      <c r="I488" s="8">
        <v>0</v>
      </c>
      <c r="J488" s="69"/>
      <c r="K488" t="s">
        <v>1626</v>
      </c>
    </row>
    <row r="489" spans="1:11" x14ac:dyDescent="0.25">
      <c r="A489" s="5" t="s">
        <v>22</v>
      </c>
      <c r="B489" t="s">
        <v>118</v>
      </c>
      <c r="C489" t="s">
        <v>1880</v>
      </c>
      <c r="D489" t="s">
        <v>797</v>
      </c>
      <c r="E489">
        <v>0</v>
      </c>
      <c r="F489" t="s">
        <v>798</v>
      </c>
      <c r="G489" t="s">
        <v>1668</v>
      </c>
      <c r="H489" s="9">
        <v>83.333333333333329</v>
      </c>
      <c r="I489" s="8">
        <v>0</v>
      </c>
      <c r="J489" s="69"/>
      <c r="K489" t="s">
        <v>1626</v>
      </c>
    </row>
    <row r="490" spans="1:11" x14ac:dyDescent="0.25">
      <c r="A490" s="5" t="s">
        <v>22</v>
      </c>
      <c r="B490" t="s">
        <v>118</v>
      </c>
      <c r="C490" s="9">
        <v>70.90625</v>
      </c>
      <c r="D490" t="s">
        <v>445</v>
      </c>
      <c r="E490">
        <v>0</v>
      </c>
      <c r="F490" t="s">
        <v>446</v>
      </c>
      <c r="G490" t="s">
        <v>1668</v>
      </c>
      <c r="H490" s="9">
        <v>83.333333333333329</v>
      </c>
      <c r="I490" s="8">
        <v>0</v>
      </c>
      <c r="J490" s="69"/>
      <c r="K490" t="s">
        <v>1626</v>
      </c>
    </row>
    <row r="491" spans="1:11" x14ac:dyDescent="0.25">
      <c r="A491" s="5" t="s">
        <v>22</v>
      </c>
      <c r="B491" t="s">
        <v>118</v>
      </c>
      <c r="C491" s="9">
        <v>14.902777777777779</v>
      </c>
      <c r="D491" t="s">
        <v>441</v>
      </c>
      <c r="E491">
        <v>0</v>
      </c>
      <c r="F491" t="s">
        <v>442</v>
      </c>
      <c r="G491" t="s">
        <v>1668</v>
      </c>
      <c r="H491" s="9">
        <v>62.5</v>
      </c>
      <c r="I491" s="8">
        <v>0</v>
      </c>
      <c r="J491" s="69"/>
      <c r="K491" t="s">
        <v>1626</v>
      </c>
    </row>
    <row r="492" spans="1:11" x14ac:dyDescent="0.25">
      <c r="A492" s="5" t="s">
        <v>22</v>
      </c>
      <c r="B492" t="s">
        <v>118</v>
      </c>
      <c r="C492" s="9">
        <v>1.5215277777777778</v>
      </c>
      <c r="D492" t="s">
        <v>1479</v>
      </c>
      <c r="E492">
        <v>0</v>
      </c>
      <c r="F492" t="s">
        <v>127</v>
      </c>
      <c r="G492" t="s">
        <v>1668</v>
      </c>
      <c r="H492" s="9">
        <v>2.0833333333333335</v>
      </c>
      <c r="I492" s="8">
        <v>0</v>
      </c>
      <c r="J492" s="69"/>
      <c r="K492" t="s">
        <v>1626</v>
      </c>
    </row>
    <row r="493" spans="1:11" x14ac:dyDescent="0.25">
      <c r="A493" s="5" t="s">
        <v>22</v>
      </c>
      <c r="B493" t="s">
        <v>118</v>
      </c>
      <c r="C493" s="9">
        <v>1.5215277777777778</v>
      </c>
      <c r="D493" t="s">
        <v>1480</v>
      </c>
      <c r="E493">
        <v>0</v>
      </c>
      <c r="F493" t="s">
        <v>128</v>
      </c>
      <c r="G493" t="s">
        <v>1668</v>
      </c>
      <c r="H493" s="9">
        <v>2.0833333333333335</v>
      </c>
      <c r="I493" s="8">
        <v>0</v>
      </c>
      <c r="J493" s="69"/>
      <c r="K493" t="s">
        <v>1626</v>
      </c>
    </row>
    <row r="494" spans="1:11" x14ac:dyDescent="0.25">
      <c r="A494" s="5" t="s">
        <v>22</v>
      </c>
      <c r="B494" t="s">
        <v>118</v>
      </c>
      <c r="C494" s="9">
        <v>124.90694444444445</v>
      </c>
      <c r="D494" t="s">
        <v>518</v>
      </c>
      <c r="E494">
        <v>0</v>
      </c>
      <c r="F494" t="s">
        <v>519</v>
      </c>
      <c r="G494" t="s">
        <v>1719</v>
      </c>
      <c r="H494" s="9" t="s">
        <v>38</v>
      </c>
      <c r="I494" s="8">
        <v>0</v>
      </c>
      <c r="J494" s="69"/>
      <c r="K494" t="s">
        <v>1626</v>
      </c>
    </row>
    <row r="495" spans="1:11" x14ac:dyDescent="0.25">
      <c r="A495" s="5" t="s">
        <v>22</v>
      </c>
      <c r="B495" t="s">
        <v>118</v>
      </c>
      <c r="C495" t="s">
        <v>1881</v>
      </c>
      <c r="D495" t="s">
        <v>733</v>
      </c>
      <c r="E495">
        <v>0</v>
      </c>
      <c r="F495" t="s">
        <v>734</v>
      </c>
      <c r="G495" t="s">
        <v>1719</v>
      </c>
      <c r="H495" s="9" t="s">
        <v>38</v>
      </c>
      <c r="I495" s="8">
        <v>0</v>
      </c>
      <c r="J495" s="69"/>
      <c r="K495" t="s">
        <v>1626</v>
      </c>
    </row>
    <row r="496" spans="1:11" x14ac:dyDescent="0.25">
      <c r="A496" s="5" t="s">
        <v>22</v>
      </c>
      <c r="B496" t="s">
        <v>118</v>
      </c>
      <c r="C496" t="s">
        <v>1881</v>
      </c>
      <c r="D496" t="s">
        <v>828</v>
      </c>
      <c r="E496">
        <v>0</v>
      </c>
      <c r="F496" t="s">
        <v>829</v>
      </c>
      <c r="G496" t="s">
        <v>1719</v>
      </c>
      <c r="H496" t="s">
        <v>38</v>
      </c>
      <c r="I496" s="8">
        <v>0</v>
      </c>
      <c r="J496" s="69"/>
      <c r="K496" t="s">
        <v>1626</v>
      </c>
    </row>
    <row r="497" spans="1:11" x14ac:dyDescent="0.25">
      <c r="A497" s="5" t="s">
        <v>22</v>
      </c>
      <c r="B497" t="s">
        <v>118</v>
      </c>
      <c r="C497" s="9">
        <v>124.90694444444445</v>
      </c>
      <c r="D497" t="s">
        <v>520</v>
      </c>
      <c r="E497">
        <v>0</v>
      </c>
      <c r="F497" t="s">
        <v>521</v>
      </c>
      <c r="G497" t="s">
        <v>1719</v>
      </c>
      <c r="H497" t="s">
        <v>38</v>
      </c>
      <c r="I497" s="8">
        <v>0</v>
      </c>
      <c r="J497" s="69"/>
      <c r="K497" t="s">
        <v>1626</v>
      </c>
    </row>
    <row r="498" spans="1:11" x14ac:dyDescent="0.25">
      <c r="A498" s="5" t="s">
        <v>22</v>
      </c>
      <c r="B498" t="s">
        <v>118</v>
      </c>
      <c r="C498" s="9">
        <v>2.4187500000000002</v>
      </c>
      <c r="D498" t="s">
        <v>232</v>
      </c>
      <c r="E498">
        <v>0</v>
      </c>
      <c r="F498" t="s">
        <v>233</v>
      </c>
      <c r="G498">
        <v>57</v>
      </c>
      <c r="H498" s="9">
        <v>8.3333333333333339</v>
      </c>
      <c r="I498" s="8">
        <v>0</v>
      </c>
      <c r="J498" s="69"/>
      <c r="K498" t="s">
        <v>1626</v>
      </c>
    </row>
    <row r="499" spans="1:11" x14ac:dyDescent="0.25">
      <c r="A499" s="5" t="s">
        <v>22</v>
      </c>
      <c r="B499" t="s">
        <v>118</v>
      </c>
      <c r="C499" s="9">
        <v>24.922222222222221</v>
      </c>
      <c r="D499" t="s">
        <v>447</v>
      </c>
      <c r="E499">
        <v>0</v>
      </c>
      <c r="F499" t="s">
        <v>448</v>
      </c>
      <c r="G499" t="s">
        <v>1661</v>
      </c>
      <c r="H499" s="9" t="s">
        <v>38</v>
      </c>
      <c r="I499" s="8">
        <v>0</v>
      </c>
      <c r="J499" s="69"/>
      <c r="K499" t="s">
        <v>1626</v>
      </c>
    </row>
    <row r="500" spans="1:11" x14ac:dyDescent="0.25">
      <c r="A500" s="5" t="s">
        <v>22</v>
      </c>
      <c r="B500" t="s">
        <v>118</v>
      </c>
      <c r="C500" s="9">
        <v>2.2840277777777778</v>
      </c>
      <c r="D500" t="s">
        <v>173</v>
      </c>
      <c r="E500">
        <v>0</v>
      </c>
      <c r="F500" t="s">
        <v>174</v>
      </c>
      <c r="G500" t="s">
        <v>1661</v>
      </c>
      <c r="H500" s="9">
        <v>4.166666666666667</v>
      </c>
      <c r="I500" s="8">
        <v>0</v>
      </c>
      <c r="J500" s="69"/>
      <c r="K500" t="s">
        <v>1626</v>
      </c>
    </row>
    <row r="501" spans="1:11" x14ac:dyDescent="0.25">
      <c r="A501" s="5" t="s">
        <v>22</v>
      </c>
      <c r="B501" t="s">
        <v>118</v>
      </c>
      <c r="C501" t="s">
        <v>1882</v>
      </c>
      <c r="D501" t="s">
        <v>826</v>
      </c>
      <c r="E501">
        <v>0</v>
      </c>
      <c r="F501" t="s">
        <v>827</v>
      </c>
      <c r="G501" t="s">
        <v>1766</v>
      </c>
      <c r="H501" s="9">
        <v>291.66666666666669</v>
      </c>
      <c r="I501" s="8">
        <v>0</v>
      </c>
      <c r="J501" s="69"/>
      <c r="K501" t="s">
        <v>1626</v>
      </c>
    </row>
    <row r="502" spans="1:11" x14ac:dyDescent="0.25">
      <c r="A502" s="5" t="s">
        <v>22</v>
      </c>
      <c r="B502" t="s">
        <v>118</v>
      </c>
      <c r="C502" t="s">
        <v>1841</v>
      </c>
      <c r="D502" t="s">
        <v>733</v>
      </c>
      <c r="E502">
        <v>0</v>
      </c>
      <c r="F502" t="s">
        <v>734</v>
      </c>
      <c r="G502" t="s">
        <v>1779</v>
      </c>
      <c r="H502" s="9" t="s">
        <v>38</v>
      </c>
      <c r="I502" s="8">
        <v>0</v>
      </c>
      <c r="J502" s="69"/>
      <c r="K502" t="s">
        <v>1626</v>
      </c>
    </row>
    <row r="503" spans="1:11" x14ac:dyDescent="0.25">
      <c r="A503" s="5" t="s">
        <v>22</v>
      </c>
      <c r="B503" t="s">
        <v>118</v>
      </c>
      <c r="C503" t="s">
        <v>1841</v>
      </c>
      <c r="D503" t="s">
        <v>735</v>
      </c>
      <c r="E503">
        <v>0</v>
      </c>
      <c r="F503" t="s">
        <v>736</v>
      </c>
      <c r="G503" t="s">
        <v>1779</v>
      </c>
      <c r="H503" s="9" t="s">
        <v>38</v>
      </c>
      <c r="I503" s="8">
        <v>0</v>
      </c>
      <c r="J503" s="69"/>
      <c r="K503" t="s">
        <v>1626</v>
      </c>
    </row>
    <row r="504" spans="1:11" x14ac:dyDescent="0.25">
      <c r="A504" s="5" t="s">
        <v>22</v>
      </c>
      <c r="B504" t="s">
        <v>118</v>
      </c>
      <c r="C504" t="s">
        <v>1841</v>
      </c>
      <c r="D504" t="s">
        <v>737</v>
      </c>
      <c r="E504">
        <v>0</v>
      </c>
      <c r="F504" t="s">
        <v>738</v>
      </c>
      <c r="G504" t="s">
        <v>1779</v>
      </c>
      <c r="H504" s="9" t="s">
        <v>38</v>
      </c>
      <c r="I504" s="8">
        <v>0</v>
      </c>
      <c r="J504" s="69"/>
      <c r="K504" t="s">
        <v>1626</v>
      </c>
    </row>
    <row r="505" spans="1:11" x14ac:dyDescent="0.25">
      <c r="A505" s="5" t="s">
        <v>22</v>
      </c>
      <c r="B505" t="s">
        <v>118</v>
      </c>
      <c r="C505" s="9">
        <v>150.29583333333332</v>
      </c>
      <c r="D505" t="s">
        <v>1490</v>
      </c>
      <c r="E505">
        <v>0</v>
      </c>
      <c r="F505" t="s">
        <v>1491</v>
      </c>
      <c r="G505" t="s">
        <v>1687</v>
      </c>
      <c r="H505" s="9">
        <v>291.66666666666669</v>
      </c>
      <c r="I505" s="8">
        <v>0</v>
      </c>
      <c r="J505" s="69"/>
      <c r="K505" t="s">
        <v>1626</v>
      </c>
    </row>
    <row r="506" spans="1:11" x14ac:dyDescent="0.25">
      <c r="A506" s="5" t="s">
        <v>22</v>
      </c>
      <c r="B506" t="s">
        <v>118</v>
      </c>
      <c r="C506" s="9">
        <v>23.370138888888889</v>
      </c>
      <c r="D506" t="s">
        <v>1483</v>
      </c>
      <c r="E506">
        <v>0</v>
      </c>
      <c r="F506" t="s">
        <v>1484</v>
      </c>
      <c r="G506" t="s">
        <v>1687</v>
      </c>
      <c r="H506" s="9">
        <v>291.66666666666669</v>
      </c>
      <c r="I506" s="8">
        <v>0</v>
      </c>
      <c r="J506" s="69"/>
      <c r="K506" t="s">
        <v>1626</v>
      </c>
    </row>
    <row r="507" spans="1:11" x14ac:dyDescent="0.25">
      <c r="A507" s="5" t="s">
        <v>22</v>
      </c>
      <c r="B507" t="s">
        <v>118</v>
      </c>
      <c r="C507" s="9">
        <v>247.16736111111112</v>
      </c>
      <c r="D507" t="s">
        <v>551</v>
      </c>
      <c r="E507">
        <v>0</v>
      </c>
      <c r="F507" t="s">
        <v>552</v>
      </c>
      <c r="G507" t="s">
        <v>1883</v>
      </c>
      <c r="H507" t="s">
        <v>66</v>
      </c>
      <c r="I507" s="8">
        <v>0</v>
      </c>
      <c r="J507" s="69"/>
      <c r="K507" t="s">
        <v>1626</v>
      </c>
    </row>
    <row r="508" spans="1:11" x14ac:dyDescent="0.25">
      <c r="A508" s="5" t="s">
        <v>22</v>
      </c>
      <c r="B508" t="s">
        <v>118</v>
      </c>
      <c r="C508" s="9">
        <v>4.9208333333333334</v>
      </c>
      <c r="D508" t="s">
        <v>151</v>
      </c>
      <c r="E508">
        <v>0</v>
      </c>
      <c r="F508" t="s">
        <v>152</v>
      </c>
      <c r="G508" t="s">
        <v>1883</v>
      </c>
      <c r="H508" s="9">
        <v>6.25</v>
      </c>
      <c r="I508" s="8">
        <v>0</v>
      </c>
      <c r="J508" s="69"/>
      <c r="K508" t="s">
        <v>1626</v>
      </c>
    </row>
    <row r="509" spans="1:11" x14ac:dyDescent="0.25">
      <c r="A509" s="5" t="s">
        <v>22</v>
      </c>
      <c r="B509" t="s">
        <v>118</v>
      </c>
      <c r="C509" s="9">
        <v>23.670833333333334</v>
      </c>
      <c r="D509" t="s">
        <v>320</v>
      </c>
      <c r="E509">
        <v>0</v>
      </c>
      <c r="F509" t="s">
        <v>321</v>
      </c>
      <c r="G509" t="s">
        <v>1883</v>
      </c>
      <c r="H509" s="9">
        <v>25</v>
      </c>
      <c r="I509" s="8">
        <v>0</v>
      </c>
      <c r="J509" s="69"/>
      <c r="K509" t="s">
        <v>1626</v>
      </c>
    </row>
    <row r="510" spans="1:11" x14ac:dyDescent="0.25">
      <c r="A510" s="5" t="s">
        <v>22</v>
      </c>
      <c r="B510" t="s">
        <v>118</v>
      </c>
      <c r="C510" s="9">
        <v>4.9208333333333334</v>
      </c>
      <c r="D510" t="s">
        <v>153</v>
      </c>
      <c r="E510">
        <v>0</v>
      </c>
      <c r="F510" t="s">
        <v>154</v>
      </c>
      <c r="G510" t="s">
        <v>1883</v>
      </c>
      <c r="H510" s="9">
        <v>6.25</v>
      </c>
      <c r="I510" s="8">
        <v>0</v>
      </c>
      <c r="J510" s="69"/>
      <c r="K510" t="s">
        <v>1626</v>
      </c>
    </row>
    <row r="511" spans="1:11" x14ac:dyDescent="0.25">
      <c r="A511" s="5" t="s">
        <v>22</v>
      </c>
      <c r="B511" t="s">
        <v>118</v>
      </c>
      <c r="C511" s="9">
        <v>23.670833333333334</v>
      </c>
      <c r="D511" t="s">
        <v>181</v>
      </c>
      <c r="E511">
        <v>0</v>
      </c>
      <c r="F511" t="s">
        <v>182</v>
      </c>
      <c r="G511" t="s">
        <v>1883</v>
      </c>
      <c r="H511" s="9">
        <v>25</v>
      </c>
      <c r="I511" s="8">
        <v>0</v>
      </c>
      <c r="J511" s="69"/>
      <c r="K511" t="s">
        <v>1626</v>
      </c>
    </row>
    <row r="512" spans="1:11" x14ac:dyDescent="0.25">
      <c r="A512" s="5" t="s">
        <v>22</v>
      </c>
      <c r="B512" t="s">
        <v>118</v>
      </c>
      <c r="C512" s="9">
        <v>296.28819444444446</v>
      </c>
      <c r="D512" t="s">
        <v>575</v>
      </c>
      <c r="E512">
        <v>0</v>
      </c>
      <c r="F512" t="s">
        <v>576</v>
      </c>
      <c r="G512" t="s">
        <v>1662</v>
      </c>
      <c r="H512" t="s">
        <v>577</v>
      </c>
      <c r="I512" s="8">
        <v>0</v>
      </c>
      <c r="J512" s="69"/>
      <c r="K512" t="s">
        <v>1626</v>
      </c>
    </row>
    <row r="513" spans="1:11" x14ac:dyDescent="0.25">
      <c r="A513" s="5" t="s">
        <v>22</v>
      </c>
      <c r="B513" t="s">
        <v>118</v>
      </c>
      <c r="C513" t="s">
        <v>1884</v>
      </c>
      <c r="D513" t="s">
        <v>803</v>
      </c>
      <c r="E513">
        <v>0</v>
      </c>
      <c r="F513" t="s">
        <v>804</v>
      </c>
      <c r="G513" t="s">
        <v>1662</v>
      </c>
      <c r="H513" t="s">
        <v>38</v>
      </c>
      <c r="I513" s="8">
        <v>0</v>
      </c>
      <c r="J513" s="69"/>
      <c r="K513" t="s">
        <v>1626</v>
      </c>
    </row>
    <row r="514" spans="1:11" x14ac:dyDescent="0.25">
      <c r="A514" s="5" t="s">
        <v>22</v>
      </c>
      <c r="B514" t="s">
        <v>118</v>
      </c>
      <c r="C514" t="s">
        <v>1885</v>
      </c>
      <c r="D514" t="s">
        <v>1497</v>
      </c>
      <c r="E514">
        <v>0</v>
      </c>
      <c r="F514" t="s">
        <v>825</v>
      </c>
      <c r="G514" t="s">
        <v>1662</v>
      </c>
      <c r="H514" t="s">
        <v>38</v>
      </c>
      <c r="I514" s="8">
        <v>0</v>
      </c>
      <c r="J514" s="69"/>
      <c r="K514" t="s">
        <v>1626</v>
      </c>
    </row>
    <row r="515" spans="1:11" x14ac:dyDescent="0.25">
      <c r="A515" s="5" t="s">
        <v>22</v>
      </c>
      <c r="B515" t="s">
        <v>118</v>
      </c>
      <c r="C515" t="s">
        <v>1886</v>
      </c>
      <c r="D515" t="s">
        <v>703</v>
      </c>
      <c r="E515">
        <v>0</v>
      </c>
      <c r="F515" t="s">
        <v>704</v>
      </c>
      <c r="G515" t="s">
        <v>1662</v>
      </c>
      <c r="H515" t="s">
        <v>38</v>
      </c>
      <c r="I515" s="8">
        <v>0</v>
      </c>
      <c r="J515" s="69"/>
      <c r="K515" t="s">
        <v>1626</v>
      </c>
    </row>
    <row r="516" spans="1:11" x14ac:dyDescent="0.25">
      <c r="A516" s="5" t="s">
        <v>22</v>
      </c>
      <c r="B516" t="s">
        <v>118</v>
      </c>
      <c r="C516" s="9">
        <v>217.29930555555555</v>
      </c>
      <c r="D516" t="s">
        <v>556</v>
      </c>
      <c r="E516">
        <v>0</v>
      </c>
      <c r="F516" t="s">
        <v>557</v>
      </c>
      <c r="G516" t="s">
        <v>1662</v>
      </c>
      <c r="H516" s="9">
        <v>125</v>
      </c>
      <c r="I516" s="8">
        <v>0</v>
      </c>
      <c r="J516" s="69"/>
      <c r="K516" t="s">
        <v>1626</v>
      </c>
    </row>
    <row r="517" spans="1:11" x14ac:dyDescent="0.25">
      <c r="A517" s="5" t="s">
        <v>22</v>
      </c>
      <c r="B517" t="s">
        <v>118</v>
      </c>
      <c r="C517" t="s">
        <v>1887</v>
      </c>
      <c r="D517" t="s">
        <v>822</v>
      </c>
      <c r="E517">
        <v>0</v>
      </c>
      <c r="F517" t="s">
        <v>823</v>
      </c>
      <c r="G517" t="s">
        <v>1662</v>
      </c>
      <c r="H517" s="9" t="s">
        <v>38</v>
      </c>
      <c r="I517" s="8">
        <v>0</v>
      </c>
      <c r="J517" s="69"/>
      <c r="K517" t="s">
        <v>1626</v>
      </c>
    </row>
    <row r="518" spans="1:11" x14ac:dyDescent="0.25">
      <c r="A518" s="5" t="s">
        <v>22</v>
      </c>
      <c r="B518" t="s">
        <v>118</v>
      </c>
      <c r="C518" t="s">
        <v>1885</v>
      </c>
      <c r="D518" t="s">
        <v>1495</v>
      </c>
      <c r="E518">
        <v>0</v>
      </c>
      <c r="F518" t="s">
        <v>1496</v>
      </c>
      <c r="G518" t="s">
        <v>1662</v>
      </c>
      <c r="H518" t="s">
        <v>38</v>
      </c>
      <c r="I518" s="8">
        <v>0</v>
      </c>
      <c r="J518" s="69"/>
      <c r="K518" t="s">
        <v>1626</v>
      </c>
    </row>
    <row r="519" spans="1:11" x14ac:dyDescent="0.25">
      <c r="A519" s="5" t="s">
        <v>22</v>
      </c>
      <c r="B519" t="s">
        <v>118</v>
      </c>
      <c r="C519" t="s">
        <v>1884</v>
      </c>
      <c r="D519" t="s">
        <v>684</v>
      </c>
      <c r="E519">
        <v>0</v>
      </c>
      <c r="F519" t="s">
        <v>685</v>
      </c>
      <c r="G519" t="s">
        <v>1662</v>
      </c>
      <c r="H519" s="9">
        <v>291.66666666666669</v>
      </c>
      <c r="I519" s="8">
        <v>0</v>
      </c>
      <c r="J519" s="69"/>
      <c r="K519" t="s">
        <v>1626</v>
      </c>
    </row>
    <row r="520" spans="1:11" x14ac:dyDescent="0.25">
      <c r="A520" s="5" t="s">
        <v>22</v>
      </c>
      <c r="B520" t="s">
        <v>118</v>
      </c>
      <c r="C520" t="s">
        <v>1870</v>
      </c>
      <c r="D520" t="s">
        <v>686</v>
      </c>
      <c r="E520">
        <v>0</v>
      </c>
      <c r="F520" t="s">
        <v>687</v>
      </c>
      <c r="G520" t="s">
        <v>1662</v>
      </c>
      <c r="H520" s="9">
        <v>291.66666666666669</v>
      </c>
      <c r="I520" s="8">
        <v>0</v>
      </c>
      <c r="J520" s="69"/>
      <c r="K520" t="s">
        <v>1626</v>
      </c>
    </row>
    <row r="521" spans="1:11" x14ac:dyDescent="0.25">
      <c r="A521" s="5" t="s">
        <v>22</v>
      </c>
      <c r="B521" t="s">
        <v>118</v>
      </c>
      <c r="C521" t="s">
        <v>1870</v>
      </c>
      <c r="D521" t="s">
        <v>688</v>
      </c>
      <c r="E521">
        <v>0</v>
      </c>
      <c r="F521" t="s">
        <v>689</v>
      </c>
      <c r="G521" t="s">
        <v>1662</v>
      </c>
      <c r="H521" s="9">
        <v>291.66666666666669</v>
      </c>
      <c r="I521" s="8">
        <v>0</v>
      </c>
      <c r="J521" s="69"/>
      <c r="K521" t="s">
        <v>1626</v>
      </c>
    </row>
    <row r="522" spans="1:11" x14ac:dyDescent="0.25">
      <c r="A522" s="5" t="s">
        <v>22</v>
      </c>
      <c r="B522" t="s">
        <v>118</v>
      </c>
      <c r="C522" s="9">
        <v>80.077083333333334</v>
      </c>
      <c r="D522" t="s">
        <v>270</v>
      </c>
      <c r="E522">
        <v>0</v>
      </c>
      <c r="F522" t="s">
        <v>271</v>
      </c>
      <c r="G522" t="s">
        <v>1662</v>
      </c>
      <c r="H522" s="9">
        <v>104.16666666666667</v>
      </c>
      <c r="I522" s="8">
        <v>0</v>
      </c>
      <c r="J522" s="69"/>
      <c r="K522" t="s">
        <v>1626</v>
      </c>
    </row>
    <row r="523" spans="1:11" x14ac:dyDescent="0.25">
      <c r="A523" s="5" t="s">
        <v>22</v>
      </c>
      <c r="B523" t="s">
        <v>118</v>
      </c>
      <c r="C523" s="9">
        <v>38.41041666666667</v>
      </c>
      <c r="D523" t="s">
        <v>372</v>
      </c>
      <c r="E523">
        <v>0</v>
      </c>
      <c r="F523" t="s">
        <v>373</v>
      </c>
      <c r="G523" t="s">
        <v>1662</v>
      </c>
      <c r="H523" s="9">
        <v>62.5</v>
      </c>
      <c r="I523" s="8">
        <v>0</v>
      </c>
      <c r="J523" s="69"/>
      <c r="K523" t="s">
        <v>1626</v>
      </c>
    </row>
    <row r="524" spans="1:11" x14ac:dyDescent="0.25">
      <c r="A524" s="5" t="s">
        <v>22</v>
      </c>
      <c r="B524" t="s">
        <v>118</v>
      </c>
      <c r="C524" s="9">
        <v>6.5854166666666663</v>
      </c>
      <c r="D524" t="s">
        <v>140</v>
      </c>
      <c r="E524">
        <v>0</v>
      </c>
      <c r="F524" t="s">
        <v>141</v>
      </c>
      <c r="G524" t="s">
        <v>1662</v>
      </c>
      <c r="H524" s="9">
        <v>12.5</v>
      </c>
      <c r="I524" s="8">
        <v>0</v>
      </c>
      <c r="J524" s="69"/>
      <c r="K524" t="s">
        <v>1626</v>
      </c>
    </row>
    <row r="525" spans="1:11" x14ac:dyDescent="0.25">
      <c r="A525" s="5" t="s">
        <v>22</v>
      </c>
      <c r="B525" t="s">
        <v>118</v>
      </c>
      <c r="C525" s="9">
        <v>2.4187500000000002</v>
      </c>
      <c r="D525" t="s">
        <v>223</v>
      </c>
      <c r="E525">
        <v>0</v>
      </c>
      <c r="F525" t="s">
        <v>224</v>
      </c>
      <c r="G525" t="s">
        <v>1662</v>
      </c>
      <c r="H525" s="9">
        <v>8.3333333333333339</v>
      </c>
      <c r="I525" s="8">
        <v>0</v>
      </c>
      <c r="J525" s="69"/>
      <c r="K525" t="s">
        <v>1626</v>
      </c>
    </row>
    <row r="526" spans="1:11" x14ac:dyDescent="0.25">
      <c r="A526" s="5" t="s">
        <v>22</v>
      </c>
      <c r="B526" t="s">
        <v>118</v>
      </c>
      <c r="C526" s="9">
        <v>2.2840277777777778</v>
      </c>
      <c r="D526" t="s">
        <v>201</v>
      </c>
      <c r="E526">
        <v>0</v>
      </c>
      <c r="F526" t="s">
        <v>202</v>
      </c>
      <c r="G526" t="s">
        <v>1662</v>
      </c>
      <c r="H526" s="9">
        <v>4.166666666666667</v>
      </c>
      <c r="I526" s="8">
        <v>0</v>
      </c>
      <c r="J526" s="69"/>
      <c r="K526" t="s">
        <v>1626</v>
      </c>
    </row>
    <row r="527" spans="1:11" x14ac:dyDescent="0.25">
      <c r="A527" s="5" t="s">
        <v>22</v>
      </c>
      <c r="B527" t="s">
        <v>118</v>
      </c>
      <c r="C527" s="9">
        <v>25.910416666666666</v>
      </c>
      <c r="D527" t="s">
        <v>416</v>
      </c>
      <c r="E527">
        <v>0</v>
      </c>
      <c r="F527" t="s">
        <v>417</v>
      </c>
      <c r="G527" t="s">
        <v>1662</v>
      </c>
      <c r="H527" s="9">
        <v>50</v>
      </c>
      <c r="I527" s="8">
        <v>0</v>
      </c>
      <c r="J527" s="69"/>
      <c r="K527" t="s">
        <v>1626</v>
      </c>
    </row>
    <row r="528" spans="1:11" x14ac:dyDescent="0.25">
      <c r="A528" s="5" t="s">
        <v>22</v>
      </c>
      <c r="B528" t="s">
        <v>118</v>
      </c>
      <c r="C528" s="9">
        <v>19.085416666666667</v>
      </c>
      <c r="D528" t="s">
        <v>348</v>
      </c>
      <c r="E528">
        <v>0</v>
      </c>
      <c r="F528" t="s">
        <v>349</v>
      </c>
      <c r="G528" t="s">
        <v>1662</v>
      </c>
      <c r="H528" s="9">
        <v>25</v>
      </c>
      <c r="I528" s="8">
        <v>0</v>
      </c>
      <c r="J528" s="69"/>
      <c r="K528" t="s">
        <v>1626</v>
      </c>
    </row>
    <row r="529" spans="1:11" x14ac:dyDescent="0.25">
      <c r="A529" s="5" t="s">
        <v>22</v>
      </c>
      <c r="B529" t="s">
        <v>118</v>
      </c>
      <c r="C529" s="9">
        <v>6.5854166666666663</v>
      </c>
      <c r="D529" t="s">
        <v>142</v>
      </c>
      <c r="E529">
        <v>0</v>
      </c>
      <c r="F529" t="s">
        <v>143</v>
      </c>
      <c r="G529" t="s">
        <v>1662</v>
      </c>
      <c r="H529" s="9">
        <v>12.5</v>
      </c>
      <c r="I529" s="8">
        <v>0</v>
      </c>
      <c r="J529" s="69"/>
      <c r="K529" t="s">
        <v>1626</v>
      </c>
    </row>
    <row r="530" spans="1:11" x14ac:dyDescent="0.25">
      <c r="A530" s="5" t="s">
        <v>22</v>
      </c>
      <c r="B530" t="s">
        <v>118</v>
      </c>
      <c r="C530" s="9">
        <v>27.993749999999999</v>
      </c>
      <c r="D530" t="s">
        <v>396</v>
      </c>
      <c r="E530">
        <v>0</v>
      </c>
      <c r="F530" t="s">
        <v>397</v>
      </c>
      <c r="G530" t="s">
        <v>1662</v>
      </c>
      <c r="H530" s="9">
        <v>52.083333333333336</v>
      </c>
      <c r="I530" s="8">
        <v>0</v>
      </c>
      <c r="J530" s="69"/>
      <c r="K530" t="s">
        <v>1626</v>
      </c>
    </row>
    <row r="531" spans="1:11" x14ac:dyDescent="0.25">
      <c r="A531" s="5" t="s">
        <v>22</v>
      </c>
      <c r="B531" t="s">
        <v>118</v>
      </c>
      <c r="C531" s="9">
        <v>2.4187500000000002</v>
      </c>
      <c r="D531" t="s">
        <v>209</v>
      </c>
      <c r="E531">
        <v>0</v>
      </c>
      <c r="F531" t="s">
        <v>210</v>
      </c>
      <c r="G531" t="s">
        <v>1662</v>
      </c>
      <c r="H531" s="9">
        <v>8.3333333333333339</v>
      </c>
      <c r="I531" s="8">
        <v>0</v>
      </c>
      <c r="J531" s="69"/>
      <c r="K531" t="s">
        <v>1626</v>
      </c>
    </row>
    <row r="532" spans="1:11" x14ac:dyDescent="0.25">
      <c r="A532" s="5" t="s">
        <v>22</v>
      </c>
      <c r="B532" t="s">
        <v>118</v>
      </c>
      <c r="C532" s="9">
        <v>2.4187500000000002</v>
      </c>
      <c r="D532" t="s">
        <v>1514</v>
      </c>
      <c r="E532">
        <v>0</v>
      </c>
      <c r="F532" t="s">
        <v>210</v>
      </c>
      <c r="G532" t="s">
        <v>1662</v>
      </c>
      <c r="H532" s="9">
        <v>8.3333333333333339</v>
      </c>
      <c r="I532" s="8">
        <v>0</v>
      </c>
      <c r="J532" s="69"/>
      <c r="K532" t="s">
        <v>1626</v>
      </c>
    </row>
    <row r="533" spans="1:11" x14ac:dyDescent="0.25">
      <c r="A533" s="5" t="s">
        <v>22</v>
      </c>
      <c r="B533" t="s">
        <v>118</v>
      </c>
      <c r="C533" s="9">
        <v>296.28819444444446</v>
      </c>
      <c r="D533" t="s">
        <v>575</v>
      </c>
      <c r="E533">
        <v>0</v>
      </c>
      <c r="F533" t="s">
        <v>576</v>
      </c>
      <c r="G533" t="s">
        <v>1662</v>
      </c>
      <c r="H533" s="9" t="s">
        <v>577</v>
      </c>
      <c r="I533" s="8">
        <v>0</v>
      </c>
      <c r="J533" s="69"/>
      <c r="K533" t="s">
        <v>1626</v>
      </c>
    </row>
    <row r="534" spans="1:11" x14ac:dyDescent="0.25">
      <c r="A534" s="5" t="s">
        <v>22</v>
      </c>
      <c r="B534" t="s">
        <v>118</v>
      </c>
      <c r="C534" t="s">
        <v>1888</v>
      </c>
      <c r="D534" t="s">
        <v>824</v>
      </c>
      <c r="E534">
        <v>0</v>
      </c>
      <c r="F534" t="s">
        <v>825</v>
      </c>
      <c r="G534" t="s">
        <v>1662</v>
      </c>
      <c r="H534" s="9" t="s">
        <v>66</v>
      </c>
      <c r="I534" s="8">
        <v>0</v>
      </c>
      <c r="J534" s="69"/>
      <c r="K534" t="s">
        <v>1626</v>
      </c>
    </row>
    <row r="535" spans="1:11" x14ac:dyDescent="0.25">
      <c r="A535" s="5" t="s">
        <v>22</v>
      </c>
      <c r="B535" t="s">
        <v>118</v>
      </c>
      <c r="C535" s="9">
        <v>65.101388888888891</v>
      </c>
      <c r="D535" t="s">
        <v>459</v>
      </c>
      <c r="E535">
        <v>0</v>
      </c>
      <c r="F535" t="s">
        <v>460</v>
      </c>
      <c r="G535" t="s">
        <v>1662</v>
      </c>
      <c r="H535" s="9">
        <v>279.16666666666669</v>
      </c>
      <c r="I535" s="8">
        <v>0</v>
      </c>
      <c r="J535" s="69"/>
      <c r="K535" t="s">
        <v>1626</v>
      </c>
    </row>
    <row r="536" spans="1:11" x14ac:dyDescent="0.25">
      <c r="A536" s="5" t="s">
        <v>22</v>
      </c>
      <c r="B536" t="s">
        <v>118</v>
      </c>
      <c r="C536" s="9">
        <v>258.73263888888891</v>
      </c>
      <c r="D536" t="s">
        <v>573</v>
      </c>
      <c r="E536">
        <v>0</v>
      </c>
      <c r="F536" t="s">
        <v>574</v>
      </c>
      <c r="G536" t="s">
        <v>1731</v>
      </c>
      <c r="H536" s="9">
        <v>279.16666666666669</v>
      </c>
      <c r="I536" s="8">
        <v>0</v>
      </c>
      <c r="J536" s="69"/>
      <c r="K536" t="s">
        <v>1626</v>
      </c>
    </row>
    <row r="537" spans="1:11" x14ac:dyDescent="0.25">
      <c r="A537" s="5" t="s">
        <v>22</v>
      </c>
      <c r="B537" t="s">
        <v>118</v>
      </c>
      <c r="C537" s="9">
        <v>258.73263888888891</v>
      </c>
      <c r="D537" t="s">
        <v>573</v>
      </c>
      <c r="E537">
        <v>0</v>
      </c>
      <c r="F537" t="s">
        <v>574</v>
      </c>
      <c r="G537" t="s">
        <v>1732</v>
      </c>
      <c r="H537" s="9">
        <v>279.16666666666669</v>
      </c>
      <c r="I537" s="8">
        <v>0</v>
      </c>
      <c r="J537" s="69"/>
      <c r="K537" t="s">
        <v>1626</v>
      </c>
    </row>
    <row r="538" spans="1:11" x14ac:dyDescent="0.25">
      <c r="A538" s="5" t="s">
        <v>22</v>
      </c>
      <c r="B538" t="s">
        <v>118</v>
      </c>
      <c r="C538" s="9">
        <v>258.73263888888891</v>
      </c>
      <c r="D538" t="s">
        <v>573</v>
      </c>
      <c r="E538">
        <v>0</v>
      </c>
      <c r="F538" t="s">
        <v>574</v>
      </c>
      <c r="G538" t="s">
        <v>1733</v>
      </c>
      <c r="H538" s="9">
        <v>279.16666666666669</v>
      </c>
      <c r="I538" s="8">
        <v>0</v>
      </c>
      <c r="J538" s="69"/>
      <c r="K538" t="s">
        <v>1626</v>
      </c>
    </row>
    <row r="539" spans="1:11" x14ac:dyDescent="0.25">
      <c r="A539" s="5" t="s">
        <v>22</v>
      </c>
      <c r="B539" t="s">
        <v>118</v>
      </c>
      <c r="C539" t="s">
        <v>1889</v>
      </c>
      <c r="D539" t="s">
        <v>701</v>
      </c>
      <c r="E539">
        <v>0</v>
      </c>
      <c r="F539" t="s">
        <v>702</v>
      </c>
      <c r="G539" t="s">
        <v>1757</v>
      </c>
      <c r="H539" s="9">
        <v>375</v>
      </c>
      <c r="I539" s="8">
        <v>0</v>
      </c>
      <c r="J539" s="69"/>
      <c r="K539" t="s">
        <v>1626</v>
      </c>
    </row>
    <row r="540" spans="1:11" x14ac:dyDescent="0.25">
      <c r="A540" s="5" t="s">
        <v>22</v>
      </c>
      <c r="B540" t="s">
        <v>118</v>
      </c>
      <c r="C540" t="s">
        <v>1889</v>
      </c>
      <c r="D540" t="s">
        <v>701</v>
      </c>
      <c r="E540">
        <v>0</v>
      </c>
      <c r="F540" t="s">
        <v>702</v>
      </c>
      <c r="G540" t="s">
        <v>1758</v>
      </c>
      <c r="H540" s="9">
        <v>375</v>
      </c>
      <c r="I540" s="8">
        <v>0</v>
      </c>
      <c r="J540" s="69"/>
      <c r="K540" t="s">
        <v>1626</v>
      </c>
    </row>
    <row r="541" spans="1:11" x14ac:dyDescent="0.25">
      <c r="A541" s="5" t="s">
        <v>22</v>
      </c>
      <c r="B541" t="s">
        <v>118</v>
      </c>
      <c r="C541" t="s">
        <v>1889</v>
      </c>
      <c r="D541" t="s">
        <v>701</v>
      </c>
      <c r="E541">
        <v>0</v>
      </c>
      <c r="F541" t="s">
        <v>702</v>
      </c>
      <c r="G541" t="s">
        <v>1759</v>
      </c>
      <c r="H541" s="9">
        <v>375</v>
      </c>
      <c r="I541" s="8">
        <v>0</v>
      </c>
      <c r="J541" s="69"/>
      <c r="K541" t="s">
        <v>1626</v>
      </c>
    </row>
    <row r="542" spans="1:11" x14ac:dyDescent="0.25">
      <c r="A542" s="5" t="s">
        <v>22</v>
      </c>
      <c r="B542" t="s">
        <v>118</v>
      </c>
      <c r="C542" t="s">
        <v>1889</v>
      </c>
      <c r="D542" t="s">
        <v>701</v>
      </c>
      <c r="E542">
        <v>0</v>
      </c>
      <c r="F542" t="s">
        <v>702</v>
      </c>
      <c r="G542" t="s">
        <v>1760</v>
      </c>
      <c r="H542" s="9">
        <v>375</v>
      </c>
      <c r="I542" s="8">
        <v>0</v>
      </c>
      <c r="J542" s="69"/>
      <c r="K542" t="s">
        <v>1626</v>
      </c>
    </row>
    <row r="543" spans="1:11" x14ac:dyDescent="0.25">
      <c r="A543" s="5" t="s">
        <v>22</v>
      </c>
      <c r="B543" t="s">
        <v>118</v>
      </c>
      <c r="C543" s="9">
        <v>184.73888888888888</v>
      </c>
      <c r="D543" t="s">
        <v>553</v>
      </c>
      <c r="E543">
        <v>0</v>
      </c>
      <c r="F543" t="s">
        <v>554</v>
      </c>
      <c r="G543" t="s">
        <v>1728</v>
      </c>
      <c r="H543" t="s">
        <v>555</v>
      </c>
      <c r="I543" s="8">
        <v>0</v>
      </c>
      <c r="J543" s="69"/>
      <c r="K543" t="s">
        <v>1626</v>
      </c>
    </row>
    <row r="544" spans="1:11" x14ac:dyDescent="0.25">
      <c r="A544" s="5" t="s">
        <v>22</v>
      </c>
      <c r="B544" t="s">
        <v>118</v>
      </c>
      <c r="C544" s="9">
        <v>140.41319444444446</v>
      </c>
      <c r="D544" t="s">
        <v>524</v>
      </c>
      <c r="E544">
        <v>0</v>
      </c>
      <c r="F544" t="s">
        <v>525</v>
      </c>
      <c r="G544" t="s">
        <v>1724</v>
      </c>
      <c r="H544" s="9">
        <v>250</v>
      </c>
      <c r="I544" s="8">
        <v>0</v>
      </c>
      <c r="J544" s="69"/>
      <c r="K544" t="s">
        <v>1626</v>
      </c>
    </row>
    <row r="545" spans="1:11" x14ac:dyDescent="0.25">
      <c r="A545" s="5" t="s">
        <v>22</v>
      </c>
      <c r="B545" t="s">
        <v>118</v>
      </c>
      <c r="C545" s="9">
        <v>300.14236111111109</v>
      </c>
      <c r="D545" t="s">
        <v>560</v>
      </c>
      <c r="E545">
        <v>0</v>
      </c>
      <c r="F545" t="s">
        <v>561</v>
      </c>
      <c r="G545" t="s">
        <v>1715</v>
      </c>
      <c r="H545" t="s">
        <v>66</v>
      </c>
      <c r="I545" s="8">
        <v>0</v>
      </c>
      <c r="J545" s="69"/>
      <c r="K545" t="s">
        <v>1626</v>
      </c>
    </row>
    <row r="546" spans="1:11" x14ac:dyDescent="0.25">
      <c r="A546" s="5" t="s">
        <v>22</v>
      </c>
      <c r="B546" t="s">
        <v>118</v>
      </c>
      <c r="C546" s="9">
        <v>91.739583333333329</v>
      </c>
      <c r="D546" t="s">
        <v>211</v>
      </c>
      <c r="E546">
        <v>0</v>
      </c>
      <c r="F546" t="s">
        <v>212</v>
      </c>
      <c r="G546" t="s">
        <v>1715</v>
      </c>
      <c r="H546" s="9">
        <v>104.16666666666667</v>
      </c>
      <c r="I546" s="8">
        <v>0</v>
      </c>
      <c r="J546" s="69"/>
      <c r="K546" t="s">
        <v>1626</v>
      </c>
    </row>
    <row r="547" spans="1:11" x14ac:dyDescent="0.25">
      <c r="A547" s="5" t="s">
        <v>22</v>
      </c>
      <c r="B547" t="s">
        <v>118</v>
      </c>
      <c r="C547" t="s">
        <v>1890</v>
      </c>
      <c r="D547" t="s">
        <v>814</v>
      </c>
      <c r="E547">
        <v>0</v>
      </c>
      <c r="F547" t="s">
        <v>815</v>
      </c>
      <c r="G547" t="s">
        <v>1681</v>
      </c>
      <c r="H547" s="9">
        <v>291.66666666666669</v>
      </c>
      <c r="I547" s="8">
        <v>0</v>
      </c>
      <c r="J547" s="69"/>
      <c r="K547" t="s">
        <v>1626</v>
      </c>
    </row>
    <row r="548" spans="1:11" x14ac:dyDescent="0.25">
      <c r="A548" s="5" t="s">
        <v>22</v>
      </c>
      <c r="B548" t="s">
        <v>118</v>
      </c>
      <c r="C548" s="9">
        <v>2.4187500000000002</v>
      </c>
      <c r="D548" t="s">
        <v>157</v>
      </c>
      <c r="E548">
        <v>0</v>
      </c>
      <c r="F548" t="s">
        <v>158</v>
      </c>
      <c r="G548" t="s">
        <v>1681</v>
      </c>
      <c r="H548" s="9">
        <v>8.3333333333333339</v>
      </c>
      <c r="I548" s="8">
        <v>0</v>
      </c>
      <c r="J548" s="69"/>
      <c r="K548" t="s">
        <v>1626</v>
      </c>
    </row>
    <row r="549" spans="1:11" x14ac:dyDescent="0.25">
      <c r="A549" s="5" t="s">
        <v>22</v>
      </c>
      <c r="B549" t="s">
        <v>118</v>
      </c>
      <c r="C549" t="s">
        <v>1891</v>
      </c>
      <c r="D549" t="s">
        <v>662</v>
      </c>
      <c r="E549">
        <v>0</v>
      </c>
      <c r="F549" t="s">
        <v>663</v>
      </c>
      <c r="G549" t="s">
        <v>1892</v>
      </c>
      <c r="H549" s="9">
        <v>62.5</v>
      </c>
      <c r="I549" s="8">
        <v>0</v>
      </c>
      <c r="J549" s="69"/>
      <c r="K549" t="s">
        <v>1626</v>
      </c>
    </row>
    <row r="550" spans="1:11" x14ac:dyDescent="0.25">
      <c r="A550" s="5" t="s">
        <v>22</v>
      </c>
      <c r="B550" t="s">
        <v>118</v>
      </c>
      <c r="C550" t="s">
        <v>1881</v>
      </c>
      <c r="D550" t="s">
        <v>733</v>
      </c>
      <c r="E550">
        <v>0</v>
      </c>
      <c r="F550" t="s">
        <v>734</v>
      </c>
      <c r="G550" t="s">
        <v>1781</v>
      </c>
      <c r="H550" t="s">
        <v>38</v>
      </c>
      <c r="I550" s="8">
        <v>0</v>
      </c>
      <c r="J550" s="69"/>
      <c r="K550" t="s">
        <v>1626</v>
      </c>
    </row>
    <row r="551" spans="1:11" x14ac:dyDescent="0.25">
      <c r="A551" s="5" t="s">
        <v>22</v>
      </c>
      <c r="B551" t="s">
        <v>118</v>
      </c>
      <c r="C551" t="s">
        <v>1881</v>
      </c>
      <c r="D551" t="s">
        <v>735</v>
      </c>
      <c r="E551">
        <v>0</v>
      </c>
      <c r="F551" t="s">
        <v>736</v>
      </c>
      <c r="G551" t="s">
        <v>1781</v>
      </c>
      <c r="H551" t="s">
        <v>38</v>
      </c>
      <c r="I551" s="8">
        <v>0</v>
      </c>
      <c r="J551" s="69"/>
      <c r="K551" t="s">
        <v>1626</v>
      </c>
    </row>
    <row r="552" spans="1:11" x14ac:dyDescent="0.25">
      <c r="A552" s="5" t="s">
        <v>22</v>
      </c>
      <c r="B552" t="s">
        <v>118</v>
      </c>
      <c r="C552" t="s">
        <v>1881</v>
      </c>
      <c r="D552" t="s">
        <v>737</v>
      </c>
      <c r="E552">
        <v>0</v>
      </c>
      <c r="F552" t="s">
        <v>738</v>
      </c>
      <c r="G552" t="s">
        <v>1781</v>
      </c>
      <c r="H552" t="s">
        <v>38</v>
      </c>
      <c r="I552" s="8">
        <v>0</v>
      </c>
      <c r="J552" s="69"/>
      <c r="K552" t="s">
        <v>1626</v>
      </c>
    </row>
    <row r="553" spans="1:11" x14ac:dyDescent="0.25">
      <c r="A553" s="5" t="s">
        <v>22</v>
      </c>
      <c r="B553" t="s">
        <v>118</v>
      </c>
      <c r="C553" t="s">
        <v>1881</v>
      </c>
      <c r="D553" t="s">
        <v>733</v>
      </c>
      <c r="E553">
        <v>0</v>
      </c>
      <c r="F553" t="s">
        <v>734</v>
      </c>
      <c r="G553" t="s">
        <v>1782</v>
      </c>
      <c r="H553" t="s">
        <v>38</v>
      </c>
      <c r="I553" s="8">
        <v>0</v>
      </c>
      <c r="J553" s="69"/>
      <c r="K553" t="s">
        <v>1626</v>
      </c>
    </row>
    <row r="554" spans="1:11" x14ac:dyDescent="0.25">
      <c r="A554" s="5" t="s">
        <v>22</v>
      </c>
      <c r="B554" t="s">
        <v>118</v>
      </c>
      <c r="C554" t="s">
        <v>1881</v>
      </c>
      <c r="D554" t="s">
        <v>735</v>
      </c>
      <c r="E554">
        <v>0</v>
      </c>
      <c r="F554" t="s">
        <v>736</v>
      </c>
      <c r="G554" t="s">
        <v>1782</v>
      </c>
      <c r="H554" t="s">
        <v>38</v>
      </c>
      <c r="I554" s="8">
        <v>0</v>
      </c>
      <c r="J554" s="69"/>
      <c r="K554" t="s">
        <v>1626</v>
      </c>
    </row>
    <row r="555" spans="1:11" x14ac:dyDescent="0.25">
      <c r="A555" s="5" t="s">
        <v>22</v>
      </c>
      <c r="B555" t="s">
        <v>118</v>
      </c>
      <c r="C555" t="s">
        <v>1881</v>
      </c>
      <c r="D555" t="s">
        <v>737</v>
      </c>
      <c r="E555">
        <v>0</v>
      </c>
      <c r="F555" t="s">
        <v>738</v>
      </c>
      <c r="G555" t="s">
        <v>1782</v>
      </c>
      <c r="H555" t="s">
        <v>38</v>
      </c>
      <c r="I555" s="8">
        <v>0</v>
      </c>
      <c r="J555" s="69"/>
      <c r="K555" t="s">
        <v>1626</v>
      </c>
    </row>
    <row r="556" spans="1:11" x14ac:dyDescent="0.25">
      <c r="A556" s="5" t="s">
        <v>22</v>
      </c>
      <c r="B556" t="s">
        <v>118</v>
      </c>
      <c r="C556" s="9">
        <v>91.59930555555556</v>
      </c>
      <c r="D556" t="s">
        <v>518</v>
      </c>
      <c r="E556">
        <v>0</v>
      </c>
      <c r="F556" t="s">
        <v>519</v>
      </c>
      <c r="G556" t="s">
        <v>1712</v>
      </c>
      <c r="H556" t="s">
        <v>38</v>
      </c>
      <c r="I556" s="8">
        <v>0</v>
      </c>
      <c r="J556" s="69"/>
      <c r="K556" t="s">
        <v>1626</v>
      </c>
    </row>
    <row r="557" spans="1:11" x14ac:dyDescent="0.25">
      <c r="A557" s="5" t="s">
        <v>22</v>
      </c>
      <c r="B557" t="s">
        <v>118</v>
      </c>
      <c r="C557" t="s">
        <v>1893</v>
      </c>
      <c r="D557" t="s">
        <v>733</v>
      </c>
      <c r="E557">
        <v>0</v>
      </c>
      <c r="F557" t="s">
        <v>734</v>
      </c>
      <c r="G557" t="s">
        <v>1712</v>
      </c>
      <c r="H557" s="9" t="s">
        <v>38</v>
      </c>
      <c r="I557" s="8">
        <v>0</v>
      </c>
      <c r="J557" s="69"/>
      <c r="K557" t="s">
        <v>1626</v>
      </c>
    </row>
    <row r="558" spans="1:11" x14ac:dyDescent="0.25">
      <c r="A558" s="5" t="s">
        <v>22</v>
      </c>
      <c r="B558" t="s">
        <v>118</v>
      </c>
      <c r="C558" t="s">
        <v>1893</v>
      </c>
      <c r="D558" t="s">
        <v>828</v>
      </c>
      <c r="E558">
        <v>0</v>
      </c>
      <c r="F558" t="s">
        <v>829</v>
      </c>
      <c r="G558" t="s">
        <v>1712</v>
      </c>
      <c r="H558" s="9" t="s">
        <v>38</v>
      </c>
      <c r="I558" s="8">
        <v>0</v>
      </c>
      <c r="J558" s="69"/>
      <c r="K558" t="s">
        <v>1626</v>
      </c>
    </row>
    <row r="559" spans="1:11" x14ac:dyDescent="0.25">
      <c r="A559" s="5" t="s">
        <v>22</v>
      </c>
      <c r="B559" t="s">
        <v>118</v>
      </c>
      <c r="C559" s="9">
        <v>101.87152777777777</v>
      </c>
      <c r="D559" t="s">
        <v>520</v>
      </c>
      <c r="E559">
        <v>0</v>
      </c>
      <c r="F559" t="s">
        <v>521</v>
      </c>
      <c r="G559" t="s">
        <v>1712</v>
      </c>
      <c r="H559" t="s">
        <v>38</v>
      </c>
      <c r="I559" s="8">
        <v>0</v>
      </c>
      <c r="J559" s="69"/>
      <c r="K559" t="s">
        <v>1626</v>
      </c>
    </row>
    <row r="560" spans="1:11" x14ac:dyDescent="0.25">
      <c r="A560" s="5" t="s">
        <v>22</v>
      </c>
      <c r="B560" t="s">
        <v>118</v>
      </c>
      <c r="C560" s="9">
        <v>91.59930555555556</v>
      </c>
      <c r="D560" t="s">
        <v>518</v>
      </c>
      <c r="E560">
        <v>0</v>
      </c>
      <c r="F560" t="s">
        <v>519</v>
      </c>
      <c r="G560" t="s">
        <v>1713</v>
      </c>
      <c r="H560" s="9" t="s">
        <v>38</v>
      </c>
      <c r="I560" s="8">
        <v>0</v>
      </c>
      <c r="J560" s="69"/>
      <c r="K560" t="s">
        <v>1626</v>
      </c>
    </row>
    <row r="561" spans="1:11" x14ac:dyDescent="0.25">
      <c r="A561" s="5" t="s">
        <v>22</v>
      </c>
      <c r="B561" t="s">
        <v>118</v>
      </c>
      <c r="C561" t="s">
        <v>1893</v>
      </c>
      <c r="D561" t="s">
        <v>733</v>
      </c>
      <c r="E561">
        <v>0</v>
      </c>
      <c r="F561" t="s">
        <v>734</v>
      </c>
      <c r="G561" t="s">
        <v>1713</v>
      </c>
      <c r="H561" s="9" t="s">
        <v>38</v>
      </c>
      <c r="I561" s="8">
        <v>0</v>
      </c>
      <c r="J561" s="69"/>
      <c r="K561" t="s">
        <v>1626</v>
      </c>
    </row>
    <row r="562" spans="1:11" x14ac:dyDescent="0.25">
      <c r="A562" s="5" t="s">
        <v>22</v>
      </c>
      <c r="B562" t="s">
        <v>118</v>
      </c>
      <c r="C562" t="s">
        <v>1893</v>
      </c>
      <c r="D562" t="s">
        <v>828</v>
      </c>
      <c r="E562">
        <v>0</v>
      </c>
      <c r="F562" t="s">
        <v>829</v>
      </c>
      <c r="G562" t="s">
        <v>1713</v>
      </c>
      <c r="H562" t="s">
        <v>38</v>
      </c>
      <c r="I562" s="8">
        <v>0</v>
      </c>
      <c r="J562" s="69"/>
      <c r="K562" t="s">
        <v>1626</v>
      </c>
    </row>
    <row r="563" spans="1:11" x14ac:dyDescent="0.25">
      <c r="A563" s="5" t="s">
        <v>22</v>
      </c>
      <c r="B563" t="s">
        <v>118</v>
      </c>
      <c r="C563" s="9">
        <v>118.39444444444445</v>
      </c>
      <c r="D563" t="s">
        <v>520</v>
      </c>
      <c r="E563">
        <v>0</v>
      </c>
      <c r="F563" t="s">
        <v>521</v>
      </c>
      <c r="G563" t="s">
        <v>1713</v>
      </c>
      <c r="H563" t="s">
        <v>38</v>
      </c>
      <c r="I563" s="8">
        <v>0</v>
      </c>
      <c r="J563" s="69"/>
      <c r="K563" t="s">
        <v>1626</v>
      </c>
    </row>
    <row r="564" spans="1:11" x14ac:dyDescent="0.25">
      <c r="A564" s="5" t="s">
        <v>22</v>
      </c>
      <c r="B564" t="s">
        <v>118</v>
      </c>
      <c r="C564" s="9">
        <v>91.59930555555556</v>
      </c>
      <c r="D564" t="s">
        <v>518</v>
      </c>
      <c r="E564">
        <v>0</v>
      </c>
      <c r="F564" t="s">
        <v>519</v>
      </c>
      <c r="G564" t="s">
        <v>1714</v>
      </c>
      <c r="H564" t="s">
        <v>38</v>
      </c>
      <c r="I564" s="8">
        <v>0</v>
      </c>
      <c r="J564" s="69"/>
      <c r="K564" t="s">
        <v>1626</v>
      </c>
    </row>
    <row r="565" spans="1:11" x14ac:dyDescent="0.25">
      <c r="A565" s="5" t="s">
        <v>22</v>
      </c>
      <c r="B565" t="s">
        <v>118</v>
      </c>
      <c r="C565" t="s">
        <v>1893</v>
      </c>
      <c r="D565" t="s">
        <v>733</v>
      </c>
      <c r="E565">
        <v>0</v>
      </c>
      <c r="F565" t="s">
        <v>734</v>
      </c>
      <c r="G565" t="s">
        <v>1714</v>
      </c>
      <c r="H565" t="s">
        <v>38</v>
      </c>
      <c r="I565" s="8">
        <v>0</v>
      </c>
      <c r="J565" s="69"/>
      <c r="K565" t="s">
        <v>1626</v>
      </c>
    </row>
    <row r="566" spans="1:11" x14ac:dyDescent="0.25">
      <c r="A566" s="5" t="s">
        <v>22</v>
      </c>
      <c r="B566" t="s">
        <v>118</v>
      </c>
      <c r="C566" t="s">
        <v>1893</v>
      </c>
      <c r="D566" t="s">
        <v>828</v>
      </c>
      <c r="E566">
        <v>0</v>
      </c>
      <c r="F566" t="s">
        <v>829</v>
      </c>
      <c r="G566" t="s">
        <v>1714</v>
      </c>
      <c r="H566" t="s">
        <v>38</v>
      </c>
      <c r="I566" s="8">
        <v>0</v>
      </c>
      <c r="J566" s="69"/>
      <c r="K566" t="s">
        <v>1626</v>
      </c>
    </row>
    <row r="567" spans="1:11" x14ac:dyDescent="0.25">
      <c r="A567" s="5" t="s">
        <v>22</v>
      </c>
      <c r="B567" t="s">
        <v>118</v>
      </c>
      <c r="C567" s="9">
        <v>118.39444444444445</v>
      </c>
      <c r="D567" t="s">
        <v>520</v>
      </c>
      <c r="E567">
        <v>0</v>
      </c>
      <c r="F567" t="s">
        <v>521</v>
      </c>
      <c r="G567" t="s">
        <v>1714</v>
      </c>
      <c r="H567" t="s">
        <v>38</v>
      </c>
      <c r="I567" s="8">
        <v>0</v>
      </c>
      <c r="J567" s="69"/>
      <c r="K567" t="s">
        <v>1626</v>
      </c>
    </row>
    <row r="568" spans="1:11" x14ac:dyDescent="0.25">
      <c r="A568" s="5" t="s">
        <v>22</v>
      </c>
      <c r="B568" t="s">
        <v>118</v>
      </c>
      <c r="C568" s="9">
        <v>4.25</v>
      </c>
      <c r="D568" t="s">
        <v>155</v>
      </c>
      <c r="E568">
        <v>0</v>
      </c>
      <c r="F568" t="s">
        <v>156</v>
      </c>
      <c r="G568">
        <v>1500267</v>
      </c>
      <c r="H568" s="9">
        <v>12.5</v>
      </c>
      <c r="I568" s="8">
        <v>0</v>
      </c>
      <c r="J568" s="69"/>
      <c r="K568" t="s">
        <v>1626</v>
      </c>
    </row>
    <row r="569" spans="1:11" x14ac:dyDescent="0.25">
      <c r="A569" s="5" t="s">
        <v>22</v>
      </c>
      <c r="B569" t="s">
        <v>118</v>
      </c>
      <c r="C569" s="9">
        <v>3.4409722222222223</v>
      </c>
      <c r="D569" t="s">
        <v>245</v>
      </c>
      <c r="E569">
        <v>0</v>
      </c>
      <c r="F569" t="s">
        <v>246</v>
      </c>
      <c r="G569">
        <v>3514711</v>
      </c>
      <c r="H569" s="9">
        <v>12.5</v>
      </c>
      <c r="I569" s="8">
        <v>0</v>
      </c>
      <c r="J569" s="69"/>
      <c r="K569" t="s">
        <v>1626</v>
      </c>
    </row>
    <row r="570" spans="1:11" x14ac:dyDescent="0.25">
      <c r="A570" s="5" t="s">
        <v>22</v>
      </c>
      <c r="B570" t="s">
        <v>118</v>
      </c>
      <c r="C570" t="s">
        <v>1885</v>
      </c>
      <c r="D570" t="s">
        <v>801</v>
      </c>
      <c r="E570">
        <v>0</v>
      </c>
      <c r="F570" t="s">
        <v>802</v>
      </c>
      <c r="G570" t="s">
        <v>1772</v>
      </c>
      <c r="H570" s="9" t="s">
        <v>38</v>
      </c>
      <c r="I570" s="8">
        <v>0</v>
      </c>
      <c r="J570" s="69"/>
      <c r="K570" t="s">
        <v>1626</v>
      </c>
    </row>
    <row r="571" spans="1:11" x14ac:dyDescent="0.25">
      <c r="A571" s="5" t="s">
        <v>22</v>
      </c>
      <c r="B571" t="s">
        <v>118</v>
      </c>
      <c r="C571" t="s">
        <v>1885</v>
      </c>
      <c r="D571" t="s">
        <v>801</v>
      </c>
      <c r="E571">
        <v>0</v>
      </c>
      <c r="F571" t="s">
        <v>802</v>
      </c>
      <c r="G571" t="s">
        <v>1773</v>
      </c>
      <c r="H571" t="s">
        <v>38</v>
      </c>
      <c r="I571" s="8">
        <v>0</v>
      </c>
      <c r="J571" s="69"/>
      <c r="K571" t="s">
        <v>1626</v>
      </c>
    </row>
    <row r="572" spans="1:11" x14ac:dyDescent="0.25">
      <c r="A572" s="5" t="s">
        <v>22</v>
      </c>
      <c r="B572" t="s">
        <v>118</v>
      </c>
      <c r="C572" t="s">
        <v>1885</v>
      </c>
      <c r="D572" t="s">
        <v>801</v>
      </c>
      <c r="E572">
        <v>0</v>
      </c>
      <c r="F572" t="s">
        <v>802</v>
      </c>
      <c r="G572" t="s">
        <v>1774</v>
      </c>
      <c r="H572" t="s">
        <v>38</v>
      </c>
      <c r="I572" s="8">
        <v>0</v>
      </c>
      <c r="J572" s="69"/>
      <c r="K572" t="s">
        <v>1626</v>
      </c>
    </row>
    <row r="573" spans="1:11" x14ac:dyDescent="0.25">
      <c r="A573" s="5" t="s">
        <v>22</v>
      </c>
      <c r="B573" t="s">
        <v>118</v>
      </c>
      <c r="C573" t="s">
        <v>1885</v>
      </c>
      <c r="D573" t="s">
        <v>801</v>
      </c>
      <c r="E573">
        <v>0</v>
      </c>
      <c r="F573" t="s">
        <v>802</v>
      </c>
      <c r="G573" t="s">
        <v>1775</v>
      </c>
      <c r="H573" s="9" t="s">
        <v>38</v>
      </c>
      <c r="I573" s="8">
        <v>0</v>
      </c>
      <c r="J573" s="69"/>
      <c r="K573" t="s">
        <v>1626</v>
      </c>
    </row>
    <row r="574" spans="1:11" x14ac:dyDescent="0.25">
      <c r="A574" s="5" t="s">
        <v>22</v>
      </c>
      <c r="B574" t="s">
        <v>118</v>
      </c>
      <c r="C574" t="s">
        <v>1870</v>
      </c>
      <c r="D574" t="s">
        <v>701</v>
      </c>
      <c r="E574">
        <v>0</v>
      </c>
      <c r="F574" t="s">
        <v>702</v>
      </c>
      <c r="G574" t="s">
        <v>1776</v>
      </c>
      <c r="H574" s="9">
        <v>375</v>
      </c>
      <c r="I574" s="8">
        <v>0</v>
      </c>
      <c r="J574" s="69"/>
      <c r="K574" t="s">
        <v>1626</v>
      </c>
    </row>
    <row r="575" spans="1:11" x14ac:dyDescent="0.25">
      <c r="A575" s="5" t="s">
        <v>22</v>
      </c>
      <c r="B575" t="s">
        <v>118</v>
      </c>
      <c r="C575" t="s">
        <v>1870</v>
      </c>
      <c r="D575" t="s">
        <v>701</v>
      </c>
      <c r="E575">
        <v>0</v>
      </c>
      <c r="F575" t="s">
        <v>702</v>
      </c>
      <c r="G575" t="s">
        <v>1777</v>
      </c>
      <c r="H575" s="9">
        <v>375</v>
      </c>
      <c r="I575" s="8">
        <v>0</v>
      </c>
      <c r="J575" s="69"/>
      <c r="K575" t="s">
        <v>1626</v>
      </c>
    </row>
    <row r="576" spans="1:11" x14ac:dyDescent="0.25">
      <c r="A576" s="5" t="s">
        <v>22</v>
      </c>
      <c r="B576" t="s">
        <v>118</v>
      </c>
      <c r="C576" t="s">
        <v>1870</v>
      </c>
      <c r="D576" t="s">
        <v>701</v>
      </c>
      <c r="E576">
        <v>0</v>
      </c>
      <c r="F576" t="s">
        <v>702</v>
      </c>
      <c r="G576" t="s">
        <v>1778</v>
      </c>
      <c r="H576" s="9">
        <v>375</v>
      </c>
      <c r="I576" s="8">
        <v>0</v>
      </c>
      <c r="J576" s="69"/>
      <c r="K576" t="s">
        <v>1626</v>
      </c>
    </row>
    <row r="577" spans="1:11" x14ac:dyDescent="0.25">
      <c r="A577" s="5" t="s">
        <v>22</v>
      </c>
      <c r="B577" t="s">
        <v>118</v>
      </c>
      <c r="C577" t="s">
        <v>1894</v>
      </c>
      <c r="D577" t="s">
        <v>701</v>
      </c>
      <c r="E577">
        <v>0</v>
      </c>
      <c r="F577" t="s">
        <v>702</v>
      </c>
      <c r="G577" t="s">
        <v>1771</v>
      </c>
      <c r="H577" s="9">
        <v>375</v>
      </c>
      <c r="I577" s="8">
        <v>0</v>
      </c>
      <c r="J577" s="69"/>
      <c r="K577" t="s">
        <v>1626</v>
      </c>
    </row>
    <row r="578" spans="1:11" x14ac:dyDescent="0.25">
      <c r="A578" s="5" t="s">
        <v>22</v>
      </c>
      <c r="B578" t="s">
        <v>118</v>
      </c>
      <c r="C578" s="9">
        <v>124.72013888888888</v>
      </c>
      <c r="D578" t="s">
        <v>1577</v>
      </c>
      <c r="E578">
        <v>0</v>
      </c>
      <c r="F578" t="s">
        <v>1578</v>
      </c>
      <c r="G578" t="s">
        <v>1717</v>
      </c>
      <c r="H578" s="9">
        <v>291.66666666666669</v>
      </c>
      <c r="I578" s="8">
        <v>0</v>
      </c>
      <c r="J578" s="69"/>
      <c r="K578" t="s">
        <v>1626</v>
      </c>
    </row>
    <row r="579" spans="1:11" x14ac:dyDescent="0.25">
      <c r="A579" s="5" t="s">
        <v>22</v>
      </c>
      <c r="B579" t="s">
        <v>118</v>
      </c>
      <c r="C579" s="9">
        <v>124.72013888888888</v>
      </c>
      <c r="D579" t="s">
        <v>1488</v>
      </c>
      <c r="E579">
        <v>0</v>
      </c>
      <c r="F579" t="s">
        <v>1489</v>
      </c>
      <c r="G579" t="s">
        <v>1717</v>
      </c>
      <c r="H579" s="9">
        <v>291.66666666666669</v>
      </c>
      <c r="I579" s="8">
        <v>0</v>
      </c>
      <c r="J579" s="69"/>
      <c r="K579" t="s">
        <v>1626</v>
      </c>
    </row>
    <row r="580" spans="1:11" x14ac:dyDescent="0.25">
      <c r="A580" s="5" t="s">
        <v>22</v>
      </c>
      <c r="B580" t="s">
        <v>118</v>
      </c>
      <c r="C580" s="9">
        <v>124.72013888888888</v>
      </c>
      <c r="D580" t="s">
        <v>1577</v>
      </c>
      <c r="E580">
        <v>0</v>
      </c>
      <c r="F580" t="s">
        <v>1578</v>
      </c>
      <c r="G580" t="s">
        <v>1718</v>
      </c>
      <c r="H580" s="9">
        <v>291.66666666666669</v>
      </c>
      <c r="I580" s="8">
        <v>0</v>
      </c>
      <c r="J580" s="69"/>
      <c r="K580" t="s">
        <v>1626</v>
      </c>
    </row>
    <row r="581" spans="1:11" x14ac:dyDescent="0.25">
      <c r="A581" s="5" t="s">
        <v>22</v>
      </c>
      <c r="B581" t="s">
        <v>118</v>
      </c>
      <c r="C581" s="9">
        <v>124.72013888888888</v>
      </c>
      <c r="D581" t="s">
        <v>1488</v>
      </c>
      <c r="E581">
        <v>0</v>
      </c>
      <c r="F581" t="s">
        <v>1489</v>
      </c>
      <c r="G581" t="s">
        <v>1718</v>
      </c>
      <c r="H581" s="9">
        <v>291.66666666666669</v>
      </c>
      <c r="I581" s="8">
        <v>0</v>
      </c>
      <c r="J581" s="69"/>
      <c r="K581" t="s">
        <v>1626</v>
      </c>
    </row>
    <row r="582" spans="1:11" x14ac:dyDescent="0.25">
      <c r="A582" s="5" t="s">
        <v>22</v>
      </c>
      <c r="B582" t="s">
        <v>118</v>
      </c>
      <c r="C582" t="s">
        <v>1895</v>
      </c>
      <c r="D582" t="s">
        <v>1494</v>
      </c>
      <c r="E582">
        <v>0</v>
      </c>
      <c r="F582" t="s">
        <v>711</v>
      </c>
      <c r="G582" t="s">
        <v>1762</v>
      </c>
      <c r="H582" t="s">
        <v>38</v>
      </c>
      <c r="I582" s="8">
        <v>0</v>
      </c>
      <c r="J582" s="69"/>
      <c r="K582" t="s">
        <v>1626</v>
      </c>
    </row>
    <row r="583" spans="1:11" x14ac:dyDescent="0.25">
      <c r="A583" s="5" t="s">
        <v>22</v>
      </c>
      <c r="B583" t="s">
        <v>118</v>
      </c>
      <c r="C583" s="9">
        <v>11.223611111111111</v>
      </c>
      <c r="D583" t="s">
        <v>155</v>
      </c>
      <c r="E583">
        <v>0</v>
      </c>
      <c r="F583" t="s">
        <v>156</v>
      </c>
      <c r="G583">
        <v>1500164</v>
      </c>
      <c r="H583" s="9">
        <v>12.5</v>
      </c>
      <c r="I583" s="8">
        <v>0</v>
      </c>
      <c r="J583" s="69"/>
      <c r="K583" t="s">
        <v>1626</v>
      </c>
    </row>
    <row r="584" spans="1:11" x14ac:dyDescent="0.25">
      <c r="A584" s="5" t="s">
        <v>22</v>
      </c>
      <c r="B584" t="s">
        <v>118</v>
      </c>
      <c r="C584" s="9">
        <v>385.85069444444446</v>
      </c>
      <c r="D584" t="s">
        <v>595</v>
      </c>
      <c r="E584">
        <v>0</v>
      </c>
      <c r="F584" t="s">
        <v>596</v>
      </c>
      <c r="G584" t="s">
        <v>1747</v>
      </c>
      <c r="H584" s="9" t="s">
        <v>38</v>
      </c>
      <c r="I584" s="8">
        <v>0</v>
      </c>
      <c r="J584" s="69"/>
      <c r="K584" t="s">
        <v>1626</v>
      </c>
    </row>
    <row r="585" spans="1:11" x14ac:dyDescent="0.25">
      <c r="A585" s="5" t="s">
        <v>22</v>
      </c>
      <c r="B585" t="s">
        <v>118</v>
      </c>
      <c r="C585" t="s">
        <v>1896</v>
      </c>
      <c r="D585" t="s">
        <v>672</v>
      </c>
      <c r="E585">
        <v>0</v>
      </c>
      <c r="F585" t="s">
        <v>673</v>
      </c>
      <c r="G585" t="s">
        <v>1752</v>
      </c>
      <c r="H585" s="9" t="s">
        <v>607</v>
      </c>
      <c r="I585" s="8">
        <v>0</v>
      </c>
      <c r="J585" s="69"/>
      <c r="K585" t="s">
        <v>1626</v>
      </c>
    </row>
    <row r="586" spans="1:11" x14ac:dyDescent="0.25">
      <c r="A586" s="5" t="s">
        <v>22</v>
      </c>
      <c r="B586" t="s">
        <v>118</v>
      </c>
      <c r="C586" s="9">
        <v>95.436111111111117</v>
      </c>
      <c r="D586" t="s">
        <v>1486</v>
      </c>
      <c r="E586">
        <v>0</v>
      </c>
      <c r="F586" t="s">
        <v>1487</v>
      </c>
      <c r="G586" t="s">
        <v>1688</v>
      </c>
      <c r="H586" s="9">
        <v>125</v>
      </c>
      <c r="I586" s="8">
        <v>0</v>
      </c>
      <c r="J586" s="69"/>
      <c r="K586" t="s">
        <v>1626</v>
      </c>
    </row>
    <row r="587" spans="1:11" x14ac:dyDescent="0.25">
      <c r="A587" s="5" t="s">
        <v>22</v>
      </c>
      <c r="B587" t="s">
        <v>118</v>
      </c>
      <c r="C587" s="9">
        <v>19.085416666666667</v>
      </c>
      <c r="D587" t="s">
        <v>138</v>
      </c>
      <c r="E587">
        <v>0</v>
      </c>
      <c r="F587" t="s">
        <v>139</v>
      </c>
      <c r="G587" t="s">
        <v>1688</v>
      </c>
      <c r="H587" s="9">
        <v>25</v>
      </c>
      <c r="I587" s="8">
        <v>0</v>
      </c>
      <c r="J587" s="69"/>
      <c r="K587" t="s">
        <v>1626</v>
      </c>
    </row>
    <row r="588" spans="1:11" x14ac:dyDescent="0.25">
      <c r="A588" s="5" t="s">
        <v>22</v>
      </c>
      <c r="B588" t="s">
        <v>118</v>
      </c>
      <c r="C588" s="9">
        <v>20.43611111111111</v>
      </c>
      <c r="D588" t="s">
        <v>370</v>
      </c>
      <c r="E588">
        <v>0</v>
      </c>
      <c r="F588" t="s">
        <v>371</v>
      </c>
      <c r="G588" t="s">
        <v>1688</v>
      </c>
      <c r="H588" s="9">
        <v>50</v>
      </c>
      <c r="I588" s="8">
        <v>0</v>
      </c>
      <c r="J588" s="69"/>
      <c r="K588" t="s">
        <v>1626</v>
      </c>
    </row>
    <row r="589" spans="1:11" x14ac:dyDescent="0.25">
      <c r="A589" s="5" t="s">
        <v>22</v>
      </c>
      <c r="B589" t="s">
        <v>118</v>
      </c>
      <c r="C589" s="9">
        <v>385.30694444444447</v>
      </c>
      <c r="D589" t="s">
        <v>600</v>
      </c>
      <c r="E589">
        <v>0</v>
      </c>
      <c r="F589" t="s">
        <v>601</v>
      </c>
      <c r="G589" t="s">
        <v>1739</v>
      </c>
      <c r="H589" s="9" t="s">
        <v>66</v>
      </c>
      <c r="I589" s="8">
        <v>0</v>
      </c>
      <c r="J589" s="69"/>
      <c r="K589" t="s">
        <v>1626</v>
      </c>
    </row>
    <row r="590" spans="1:11" x14ac:dyDescent="0.25">
      <c r="A590" s="5" t="s">
        <v>22</v>
      </c>
      <c r="B590" t="s">
        <v>118</v>
      </c>
      <c r="C590" s="9">
        <v>385.30694444444447</v>
      </c>
      <c r="D590" t="s">
        <v>600</v>
      </c>
      <c r="E590">
        <v>0</v>
      </c>
      <c r="F590" t="s">
        <v>601</v>
      </c>
      <c r="G590" t="s">
        <v>1740</v>
      </c>
      <c r="H590" s="9" t="s">
        <v>66</v>
      </c>
      <c r="I590" s="8">
        <v>0</v>
      </c>
      <c r="J590" s="69"/>
      <c r="K590" t="s">
        <v>1626</v>
      </c>
    </row>
    <row r="591" spans="1:11" x14ac:dyDescent="0.25">
      <c r="A591" s="5" t="s">
        <v>22</v>
      </c>
      <c r="B591" t="s">
        <v>118</v>
      </c>
      <c r="C591" s="9">
        <v>385.30694444444447</v>
      </c>
      <c r="D591" t="s">
        <v>600</v>
      </c>
      <c r="E591">
        <v>0</v>
      </c>
      <c r="F591" t="s">
        <v>601</v>
      </c>
      <c r="G591" t="s">
        <v>1741</v>
      </c>
      <c r="H591" s="9" t="s">
        <v>66</v>
      </c>
      <c r="I591" s="8">
        <v>0</v>
      </c>
      <c r="J591" s="69"/>
      <c r="K591" t="s">
        <v>1626</v>
      </c>
    </row>
    <row r="592" spans="1:11" x14ac:dyDescent="0.25">
      <c r="A592" s="5" t="s">
        <v>22</v>
      </c>
      <c r="B592" t="s">
        <v>118</v>
      </c>
      <c r="C592" s="9">
        <v>385.30694444444447</v>
      </c>
      <c r="D592" t="s">
        <v>600</v>
      </c>
      <c r="E592">
        <v>0</v>
      </c>
      <c r="F592" t="s">
        <v>601</v>
      </c>
      <c r="G592" t="s">
        <v>1742</v>
      </c>
      <c r="H592" s="9" t="s">
        <v>66</v>
      </c>
      <c r="I592" s="8">
        <v>0</v>
      </c>
      <c r="J592" s="69"/>
      <c r="K592" t="s">
        <v>1626</v>
      </c>
    </row>
    <row r="593" spans="1:11" x14ac:dyDescent="0.25">
      <c r="A593" s="5" t="s">
        <v>22</v>
      </c>
      <c r="B593" t="s">
        <v>118</v>
      </c>
      <c r="C593" s="9">
        <v>385.30694444444447</v>
      </c>
      <c r="D593" t="s">
        <v>600</v>
      </c>
      <c r="E593">
        <v>0</v>
      </c>
      <c r="F593" t="s">
        <v>601</v>
      </c>
      <c r="G593" t="s">
        <v>1743</v>
      </c>
      <c r="H593" t="s">
        <v>66</v>
      </c>
      <c r="I593" s="8">
        <v>0</v>
      </c>
      <c r="J593" s="69"/>
      <c r="K593" t="s">
        <v>1626</v>
      </c>
    </row>
    <row r="594" spans="1:11" x14ac:dyDescent="0.25">
      <c r="A594" s="5" t="s">
        <v>22</v>
      </c>
      <c r="B594" t="s">
        <v>118</v>
      </c>
      <c r="C594" s="9">
        <v>385.30694444444447</v>
      </c>
      <c r="D594" t="s">
        <v>600</v>
      </c>
      <c r="E594">
        <v>0</v>
      </c>
      <c r="F594" t="s">
        <v>601</v>
      </c>
      <c r="G594" t="s">
        <v>1744</v>
      </c>
      <c r="H594" t="s">
        <v>66</v>
      </c>
      <c r="I594" s="8">
        <v>0</v>
      </c>
      <c r="J594" s="69"/>
      <c r="K594" t="s">
        <v>1626</v>
      </c>
    </row>
    <row r="595" spans="1:11" x14ac:dyDescent="0.25">
      <c r="A595" s="5" t="s">
        <v>22</v>
      </c>
      <c r="B595" t="s">
        <v>118</v>
      </c>
      <c r="C595" s="9">
        <v>385.30694444444447</v>
      </c>
      <c r="D595" t="s">
        <v>600</v>
      </c>
      <c r="E595">
        <v>0</v>
      </c>
      <c r="F595" t="s">
        <v>601</v>
      </c>
      <c r="G595" t="s">
        <v>1745</v>
      </c>
      <c r="H595" t="s">
        <v>66</v>
      </c>
      <c r="I595" s="8">
        <v>0</v>
      </c>
      <c r="J595" s="69"/>
      <c r="K595" t="s">
        <v>1626</v>
      </c>
    </row>
    <row r="596" spans="1:11" x14ac:dyDescent="0.25">
      <c r="A596" s="5" t="s">
        <v>22</v>
      </c>
      <c r="B596" t="s">
        <v>118</v>
      </c>
      <c r="C596" s="9">
        <v>385.30694444444447</v>
      </c>
      <c r="D596" t="s">
        <v>600</v>
      </c>
      <c r="E596">
        <v>0</v>
      </c>
      <c r="F596" t="s">
        <v>601</v>
      </c>
      <c r="G596" t="s">
        <v>1746</v>
      </c>
      <c r="H596" s="9" t="s">
        <v>66</v>
      </c>
      <c r="I596" s="8">
        <v>0</v>
      </c>
      <c r="J596" s="69"/>
      <c r="K596" t="s">
        <v>1626</v>
      </c>
    </row>
    <row r="597" spans="1:11" x14ac:dyDescent="0.25">
      <c r="A597" s="5" t="s">
        <v>22</v>
      </c>
      <c r="B597" t="s">
        <v>118</v>
      </c>
      <c r="C597" s="9">
        <v>195.90625</v>
      </c>
      <c r="D597" t="s">
        <v>549</v>
      </c>
      <c r="E597">
        <v>0</v>
      </c>
      <c r="F597" t="s">
        <v>550</v>
      </c>
      <c r="G597" t="s">
        <v>1729</v>
      </c>
      <c r="H597" t="s">
        <v>66</v>
      </c>
      <c r="I597" s="8">
        <v>0</v>
      </c>
      <c r="J597" s="69"/>
      <c r="K597" t="s">
        <v>1626</v>
      </c>
    </row>
    <row r="598" spans="1:11" x14ac:dyDescent="0.25">
      <c r="A598" s="5" t="s">
        <v>22</v>
      </c>
      <c r="B598" t="s">
        <v>118</v>
      </c>
      <c r="C598" t="s">
        <v>1897</v>
      </c>
      <c r="D598" t="s">
        <v>826</v>
      </c>
      <c r="E598">
        <v>0</v>
      </c>
      <c r="F598" t="s">
        <v>827</v>
      </c>
      <c r="G598" t="s">
        <v>1768</v>
      </c>
      <c r="H598" s="9">
        <v>291.66666666666669</v>
      </c>
      <c r="I598" s="8">
        <v>0</v>
      </c>
      <c r="J598" s="69"/>
      <c r="K598" t="s">
        <v>1626</v>
      </c>
    </row>
    <row r="599" spans="1:11" x14ac:dyDescent="0.25">
      <c r="A599" s="5" t="s">
        <v>22</v>
      </c>
      <c r="B599" t="s">
        <v>118</v>
      </c>
      <c r="C599" t="s">
        <v>1898</v>
      </c>
      <c r="D599" t="s">
        <v>666</v>
      </c>
      <c r="E599">
        <v>0</v>
      </c>
      <c r="F599" t="s">
        <v>667</v>
      </c>
      <c r="G599" t="s">
        <v>1689</v>
      </c>
      <c r="H599" t="s">
        <v>607</v>
      </c>
      <c r="I599" s="8">
        <v>0</v>
      </c>
      <c r="J599" s="69"/>
      <c r="K599" t="s">
        <v>1626</v>
      </c>
    </row>
    <row r="600" spans="1:11" x14ac:dyDescent="0.25">
      <c r="A600" s="5" t="s">
        <v>22</v>
      </c>
      <c r="B600" t="s">
        <v>118</v>
      </c>
      <c r="C600" s="9">
        <v>56.881250000000001</v>
      </c>
      <c r="D600" t="s">
        <v>432</v>
      </c>
      <c r="E600">
        <v>0</v>
      </c>
      <c r="F600" t="s">
        <v>433</v>
      </c>
      <c r="G600" t="s">
        <v>1689</v>
      </c>
      <c r="H600" s="9">
        <v>79.166666666666671</v>
      </c>
      <c r="I600" s="8">
        <v>0</v>
      </c>
      <c r="J600" s="69"/>
      <c r="K600" t="s">
        <v>1626</v>
      </c>
    </row>
    <row r="601" spans="1:11" x14ac:dyDescent="0.25">
      <c r="A601" s="5" t="s">
        <v>22</v>
      </c>
      <c r="B601" t="s">
        <v>118</v>
      </c>
      <c r="C601" s="9">
        <v>7.4305555555555554</v>
      </c>
      <c r="D601" t="s">
        <v>257</v>
      </c>
      <c r="E601">
        <v>0</v>
      </c>
      <c r="F601" t="s">
        <v>258</v>
      </c>
      <c r="G601" t="s">
        <v>1689</v>
      </c>
      <c r="H601" s="9">
        <v>12.5</v>
      </c>
      <c r="I601" s="8">
        <v>0</v>
      </c>
      <c r="J601" s="69"/>
      <c r="K601" t="s">
        <v>1626</v>
      </c>
    </row>
    <row r="602" spans="1:11" x14ac:dyDescent="0.25">
      <c r="A602" s="5" t="s">
        <v>22</v>
      </c>
      <c r="B602" t="s">
        <v>118</v>
      </c>
      <c r="C602" t="s">
        <v>1841</v>
      </c>
      <c r="D602" t="s">
        <v>733</v>
      </c>
      <c r="E602">
        <v>0</v>
      </c>
      <c r="F602" t="s">
        <v>734</v>
      </c>
      <c r="G602" t="s">
        <v>1780</v>
      </c>
      <c r="H602" t="s">
        <v>38</v>
      </c>
      <c r="I602" s="8">
        <v>0</v>
      </c>
      <c r="J602" s="69"/>
      <c r="K602" t="s">
        <v>1626</v>
      </c>
    </row>
    <row r="603" spans="1:11" x14ac:dyDescent="0.25">
      <c r="A603" s="5" t="s">
        <v>22</v>
      </c>
      <c r="B603" t="s">
        <v>118</v>
      </c>
      <c r="C603" t="s">
        <v>1841</v>
      </c>
      <c r="D603" t="s">
        <v>735</v>
      </c>
      <c r="E603">
        <v>0</v>
      </c>
      <c r="F603" t="s">
        <v>736</v>
      </c>
      <c r="G603" t="s">
        <v>1780</v>
      </c>
      <c r="H603" s="9" t="s">
        <v>38</v>
      </c>
      <c r="I603" s="8">
        <v>0</v>
      </c>
      <c r="J603" s="69"/>
      <c r="K603" t="s">
        <v>1626</v>
      </c>
    </row>
    <row r="604" spans="1:11" x14ac:dyDescent="0.25">
      <c r="A604" s="5" t="s">
        <v>22</v>
      </c>
      <c r="B604" t="s">
        <v>118</v>
      </c>
      <c r="C604" t="s">
        <v>1841</v>
      </c>
      <c r="D604" t="s">
        <v>737</v>
      </c>
      <c r="E604">
        <v>0</v>
      </c>
      <c r="F604" t="s">
        <v>738</v>
      </c>
      <c r="G604" t="s">
        <v>1780</v>
      </c>
      <c r="H604" t="s">
        <v>38</v>
      </c>
      <c r="I604" s="8">
        <v>0</v>
      </c>
      <c r="J604" s="69"/>
      <c r="K604" t="s">
        <v>1626</v>
      </c>
    </row>
    <row r="605" spans="1:11" x14ac:dyDescent="0.25">
      <c r="A605" s="5" t="s">
        <v>22</v>
      </c>
      <c r="B605" t="s">
        <v>118</v>
      </c>
      <c r="C605" s="9">
        <v>4.2611111111111111</v>
      </c>
      <c r="D605" t="s">
        <v>155</v>
      </c>
      <c r="E605">
        <v>0</v>
      </c>
      <c r="F605" t="s">
        <v>156</v>
      </c>
      <c r="G605">
        <v>2105290</v>
      </c>
      <c r="H605" s="9">
        <v>12.5</v>
      </c>
      <c r="I605" s="8">
        <v>0</v>
      </c>
      <c r="J605" s="69"/>
      <c r="K605" t="s">
        <v>1626</v>
      </c>
    </row>
    <row r="606" spans="1:11" x14ac:dyDescent="0.25">
      <c r="A606" s="5" t="s">
        <v>22</v>
      </c>
      <c r="B606" t="s">
        <v>118</v>
      </c>
      <c r="C606" s="9">
        <v>56.151388888888889</v>
      </c>
      <c r="D606" t="s">
        <v>428</v>
      </c>
      <c r="E606">
        <v>0</v>
      </c>
      <c r="F606" t="s">
        <v>429</v>
      </c>
      <c r="G606" t="s">
        <v>1704</v>
      </c>
      <c r="H606" s="9">
        <v>62.5</v>
      </c>
      <c r="I606" s="8">
        <v>0</v>
      </c>
      <c r="J606" s="69"/>
      <c r="K606" t="s">
        <v>1626</v>
      </c>
    </row>
    <row r="607" spans="1:11" x14ac:dyDescent="0.25">
      <c r="A607" s="5" t="s">
        <v>22</v>
      </c>
      <c r="B607" t="s">
        <v>118</v>
      </c>
      <c r="C607" s="9">
        <v>56.151388888888889</v>
      </c>
      <c r="D607" t="s">
        <v>428</v>
      </c>
      <c r="E607">
        <v>0</v>
      </c>
      <c r="F607" t="s">
        <v>429</v>
      </c>
      <c r="G607" t="s">
        <v>1705</v>
      </c>
      <c r="H607" s="9">
        <v>62.5</v>
      </c>
      <c r="I607" s="8">
        <v>0</v>
      </c>
      <c r="J607" s="69"/>
      <c r="K607" t="s">
        <v>1626</v>
      </c>
    </row>
    <row r="608" spans="1:11" x14ac:dyDescent="0.25">
      <c r="A608" s="5" t="s">
        <v>22</v>
      </c>
      <c r="B608" t="s">
        <v>118</v>
      </c>
      <c r="C608" s="9">
        <v>56.151388888888889</v>
      </c>
      <c r="D608" t="s">
        <v>428</v>
      </c>
      <c r="E608">
        <v>0</v>
      </c>
      <c r="F608" t="s">
        <v>429</v>
      </c>
      <c r="G608" t="s">
        <v>1706</v>
      </c>
      <c r="H608" s="9">
        <v>62.5</v>
      </c>
      <c r="I608" s="8">
        <v>0</v>
      </c>
      <c r="J608" s="69"/>
      <c r="K608" t="s">
        <v>1626</v>
      </c>
    </row>
    <row r="609" spans="1:11" x14ac:dyDescent="0.25">
      <c r="A609" s="5" t="s">
        <v>22</v>
      </c>
      <c r="B609" t="s">
        <v>118</v>
      </c>
      <c r="C609" s="9">
        <v>56.151388888888889</v>
      </c>
      <c r="D609" t="s">
        <v>428</v>
      </c>
      <c r="E609">
        <v>0</v>
      </c>
      <c r="F609" t="s">
        <v>429</v>
      </c>
      <c r="G609" t="s">
        <v>1707</v>
      </c>
      <c r="H609" s="9">
        <v>62.5</v>
      </c>
      <c r="I609" s="8">
        <v>0</v>
      </c>
      <c r="J609" s="69"/>
      <c r="K609" t="s">
        <v>1626</v>
      </c>
    </row>
    <row r="610" spans="1:11" x14ac:dyDescent="0.25">
      <c r="A610" s="5" t="s">
        <v>22</v>
      </c>
      <c r="B610" t="s">
        <v>118</v>
      </c>
      <c r="C610" s="9">
        <v>126.99513888888889</v>
      </c>
      <c r="D610" t="s">
        <v>510</v>
      </c>
      <c r="E610">
        <v>0</v>
      </c>
      <c r="F610" t="s">
        <v>511</v>
      </c>
      <c r="G610" t="s">
        <v>1720</v>
      </c>
      <c r="H610" t="s">
        <v>38</v>
      </c>
      <c r="I610" s="8">
        <v>0</v>
      </c>
      <c r="J610" s="69"/>
      <c r="K610" t="s">
        <v>1626</v>
      </c>
    </row>
    <row r="611" spans="1:11" x14ac:dyDescent="0.25">
      <c r="A611" s="5" t="s">
        <v>22</v>
      </c>
      <c r="B611" t="s">
        <v>118</v>
      </c>
      <c r="C611" s="9">
        <v>126.99513888888889</v>
      </c>
      <c r="D611" t="s">
        <v>510</v>
      </c>
      <c r="E611">
        <v>0</v>
      </c>
      <c r="F611" t="s">
        <v>511</v>
      </c>
      <c r="G611" t="s">
        <v>1721</v>
      </c>
      <c r="H611" t="s">
        <v>38</v>
      </c>
      <c r="I611" s="8">
        <v>0</v>
      </c>
      <c r="J611" s="69"/>
      <c r="K611" t="s">
        <v>1626</v>
      </c>
    </row>
    <row r="612" spans="1:11" x14ac:dyDescent="0.25">
      <c r="A612" s="5" t="s">
        <v>22</v>
      </c>
      <c r="B612" t="s">
        <v>118</v>
      </c>
      <c r="C612" s="9">
        <v>126.99513888888889</v>
      </c>
      <c r="D612" t="s">
        <v>510</v>
      </c>
      <c r="E612">
        <v>0</v>
      </c>
      <c r="F612" t="s">
        <v>511</v>
      </c>
      <c r="G612" t="s">
        <v>1722</v>
      </c>
      <c r="H612" t="s">
        <v>38</v>
      </c>
      <c r="I612" s="8">
        <v>0</v>
      </c>
      <c r="J612" s="69"/>
      <c r="K612" t="s">
        <v>1626</v>
      </c>
    </row>
    <row r="613" spans="1:11" x14ac:dyDescent="0.25">
      <c r="A613" s="5" t="s">
        <v>22</v>
      </c>
      <c r="B613" t="s">
        <v>118</v>
      </c>
      <c r="C613" s="9">
        <v>127.66319444444444</v>
      </c>
      <c r="D613" t="s">
        <v>510</v>
      </c>
      <c r="E613">
        <v>0</v>
      </c>
      <c r="F613" t="s">
        <v>511</v>
      </c>
      <c r="G613" t="s">
        <v>1723</v>
      </c>
      <c r="H613" t="s">
        <v>38</v>
      </c>
      <c r="I613" s="8">
        <v>0</v>
      </c>
      <c r="J613" s="69"/>
      <c r="K613" t="s">
        <v>1626</v>
      </c>
    </row>
    <row r="614" spans="1:11" x14ac:dyDescent="0.25">
      <c r="A614" s="5" t="s">
        <v>22</v>
      </c>
      <c r="B614" t="s">
        <v>118</v>
      </c>
      <c r="C614" s="9">
        <v>6.5854166666666663</v>
      </c>
      <c r="D614" t="s">
        <v>155</v>
      </c>
      <c r="E614">
        <v>0</v>
      </c>
      <c r="F614" t="s">
        <v>156</v>
      </c>
      <c r="G614">
        <v>2305173</v>
      </c>
      <c r="H614" s="9">
        <v>12.5</v>
      </c>
      <c r="I614" s="8">
        <v>0</v>
      </c>
      <c r="J614" s="69"/>
      <c r="K614" t="s">
        <v>1626</v>
      </c>
    </row>
    <row r="615" spans="1:11" x14ac:dyDescent="0.25">
      <c r="A615" s="5" t="s">
        <v>22</v>
      </c>
      <c r="B615" t="s">
        <v>118</v>
      </c>
      <c r="C615" t="s">
        <v>1899</v>
      </c>
      <c r="D615" t="s">
        <v>676</v>
      </c>
      <c r="E615">
        <v>0</v>
      </c>
      <c r="F615" t="s">
        <v>677</v>
      </c>
      <c r="G615" t="s">
        <v>1769</v>
      </c>
      <c r="H615" s="9">
        <v>104.16666666666667</v>
      </c>
      <c r="I615" s="8">
        <v>0</v>
      </c>
      <c r="J615" s="69"/>
      <c r="K615" t="s">
        <v>1626</v>
      </c>
    </row>
    <row r="616" spans="1:11" x14ac:dyDescent="0.25">
      <c r="A616" s="5" t="s">
        <v>22</v>
      </c>
      <c r="B616" t="s">
        <v>118</v>
      </c>
      <c r="C616" s="9">
        <v>77.418750000000003</v>
      </c>
      <c r="D616" t="s">
        <v>476</v>
      </c>
      <c r="E616">
        <v>0</v>
      </c>
      <c r="F616" t="s">
        <v>477</v>
      </c>
      <c r="G616" t="s">
        <v>1711</v>
      </c>
      <c r="H616" s="9">
        <v>83.333333333333329</v>
      </c>
      <c r="I616" s="8">
        <v>0</v>
      </c>
      <c r="J616" s="69"/>
      <c r="K616" t="s">
        <v>1626</v>
      </c>
    </row>
    <row r="617" spans="1:11" x14ac:dyDescent="0.25">
      <c r="A617" s="5" t="s">
        <v>22</v>
      </c>
      <c r="B617" t="s">
        <v>118</v>
      </c>
      <c r="C617" s="9">
        <v>7.572916666666667</v>
      </c>
      <c r="D617" t="s">
        <v>249</v>
      </c>
      <c r="E617">
        <v>0</v>
      </c>
      <c r="F617" t="s">
        <v>250</v>
      </c>
      <c r="G617" t="s">
        <v>1690</v>
      </c>
      <c r="H617" s="9">
        <v>12.5</v>
      </c>
      <c r="I617" s="8">
        <v>0</v>
      </c>
      <c r="J617" s="69"/>
      <c r="K617" t="s">
        <v>1626</v>
      </c>
    </row>
    <row r="618" spans="1:11" x14ac:dyDescent="0.25">
      <c r="A618" s="5" t="s">
        <v>22</v>
      </c>
      <c r="B618" t="s">
        <v>118</v>
      </c>
      <c r="C618" t="s">
        <v>1900</v>
      </c>
      <c r="D618" t="s">
        <v>597</v>
      </c>
      <c r="E618">
        <v>0</v>
      </c>
      <c r="F618" t="s">
        <v>598</v>
      </c>
      <c r="G618" t="s">
        <v>1677</v>
      </c>
      <c r="H618" t="s">
        <v>599</v>
      </c>
      <c r="I618" s="8">
        <v>0</v>
      </c>
      <c r="J618" s="69"/>
      <c r="K618" t="s">
        <v>1626</v>
      </c>
    </row>
    <row r="619" spans="1:11" x14ac:dyDescent="0.25">
      <c r="A619" s="5" t="s">
        <v>22</v>
      </c>
      <c r="B619" t="s">
        <v>118</v>
      </c>
      <c r="C619" s="9">
        <v>2.2854166666666669</v>
      </c>
      <c r="D619" t="s">
        <v>199</v>
      </c>
      <c r="E619">
        <v>0</v>
      </c>
      <c r="F619" t="s">
        <v>200</v>
      </c>
      <c r="G619" t="s">
        <v>1677</v>
      </c>
      <c r="H619" s="9">
        <v>4.166666666666667</v>
      </c>
      <c r="I619" s="8">
        <v>0</v>
      </c>
      <c r="J619" s="69"/>
      <c r="K619" t="s">
        <v>1626</v>
      </c>
    </row>
    <row r="620" spans="1:11" x14ac:dyDescent="0.25">
      <c r="A620" s="5" t="s">
        <v>22</v>
      </c>
      <c r="B620" t="s">
        <v>118</v>
      </c>
      <c r="C620" s="9">
        <v>7.572916666666667</v>
      </c>
      <c r="D620" t="s">
        <v>249</v>
      </c>
      <c r="E620">
        <v>0</v>
      </c>
      <c r="F620" t="s">
        <v>250</v>
      </c>
      <c r="G620" t="s">
        <v>1691</v>
      </c>
      <c r="H620" s="9">
        <v>12.5</v>
      </c>
      <c r="I620" s="8">
        <v>0</v>
      </c>
      <c r="J620" s="69"/>
      <c r="K620" t="s">
        <v>1626</v>
      </c>
    </row>
    <row r="621" spans="1:11" x14ac:dyDescent="0.25">
      <c r="A621" s="5" t="s">
        <v>22</v>
      </c>
      <c r="B621" t="s">
        <v>118</v>
      </c>
      <c r="C621" s="9">
        <v>362.57986111111109</v>
      </c>
      <c r="D621" t="s">
        <v>560</v>
      </c>
      <c r="E621">
        <v>0</v>
      </c>
      <c r="F621" t="s">
        <v>561</v>
      </c>
      <c r="G621" t="s">
        <v>1700</v>
      </c>
      <c r="H621" t="s">
        <v>66</v>
      </c>
      <c r="I621" s="8">
        <v>0</v>
      </c>
      <c r="J621" s="69"/>
      <c r="K621" t="s">
        <v>1626</v>
      </c>
    </row>
    <row r="622" spans="1:11" x14ac:dyDescent="0.25">
      <c r="A622" s="5" t="s">
        <v>22</v>
      </c>
      <c r="B622" t="s">
        <v>118</v>
      </c>
      <c r="C622" s="9">
        <v>50.079861111111114</v>
      </c>
      <c r="D622" t="s">
        <v>211</v>
      </c>
      <c r="E622">
        <v>0</v>
      </c>
      <c r="F622" t="s">
        <v>212</v>
      </c>
      <c r="G622" t="s">
        <v>1700</v>
      </c>
      <c r="H622" s="9">
        <v>104.16666666666667</v>
      </c>
      <c r="I622" s="8">
        <v>0</v>
      </c>
      <c r="J622" s="69"/>
      <c r="K622" t="s">
        <v>1626</v>
      </c>
    </row>
    <row r="623" spans="1:11" x14ac:dyDescent="0.25">
      <c r="A623" s="5" t="s">
        <v>22</v>
      </c>
      <c r="B623" t="s">
        <v>118</v>
      </c>
      <c r="C623" t="s">
        <v>1901</v>
      </c>
      <c r="D623" t="s">
        <v>658</v>
      </c>
      <c r="E623">
        <v>0</v>
      </c>
      <c r="F623" t="s">
        <v>659</v>
      </c>
      <c r="G623" t="s">
        <v>1753</v>
      </c>
      <c r="H623" t="s">
        <v>607</v>
      </c>
      <c r="I623" s="8">
        <v>0</v>
      </c>
      <c r="J623" s="69"/>
      <c r="K623" t="s">
        <v>1626</v>
      </c>
    </row>
    <row r="624" spans="1:11" x14ac:dyDescent="0.25">
      <c r="A624" s="5" t="s">
        <v>1463</v>
      </c>
      <c r="B624" t="s">
        <v>890</v>
      </c>
      <c r="C624" t="s">
        <v>38</v>
      </c>
      <c r="D624" t="s">
        <v>891</v>
      </c>
      <c r="E624">
        <v>0</v>
      </c>
      <c r="F624" t="s">
        <v>892</v>
      </c>
      <c r="G624" t="s">
        <v>1626</v>
      </c>
      <c r="H624" t="s">
        <v>38</v>
      </c>
      <c r="I624" s="8">
        <v>0</v>
      </c>
      <c r="J624" s="69"/>
      <c r="K624" t="s">
        <v>1626</v>
      </c>
    </row>
    <row r="625" spans="1:11" x14ac:dyDescent="0.25">
      <c r="A625" s="5" t="s">
        <v>1463</v>
      </c>
      <c r="B625" t="s">
        <v>893</v>
      </c>
      <c r="C625" t="s">
        <v>1902</v>
      </c>
      <c r="D625" t="s">
        <v>894</v>
      </c>
      <c r="E625">
        <v>0</v>
      </c>
      <c r="F625" t="s">
        <v>895</v>
      </c>
      <c r="G625" t="s">
        <v>1626</v>
      </c>
      <c r="H625" t="s">
        <v>38</v>
      </c>
      <c r="I625" s="8">
        <v>0</v>
      </c>
      <c r="J625" s="69"/>
      <c r="K625" t="s">
        <v>1626</v>
      </c>
    </row>
    <row r="626" spans="1:11" x14ac:dyDescent="0.25">
      <c r="A626" s="5" t="s">
        <v>1463</v>
      </c>
      <c r="B626" t="s">
        <v>896</v>
      </c>
      <c r="C626" s="9">
        <v>416.61666666666667</v>
      </c>
      <c r="D626" t="s">
        <v>897</v>
      </c>
      <c r="E626">
        <v>0</v>
      </c>
      <c r="F626" t="s">
        <v>898</v>
      </c>
      <c r="G626" t="s">
        <v>1626</v>
      </c>
      <c r="H626" t="s">
        <v>66</v>
      </c>
      <c r="I626" s="8">
        <v>0</v>
      </c>
      <c r="J626" s="69"/>
      <c r="K626" t="s">
        <v>1626</v>
      </c>
    </row>
    <row r="627" spans="1:11" x14ac:dyDescent="0.25">
      <c r="A627" s="5" t="s">
        <v>1463</v>
      </c>
      <c r="B627" t="s">
        <v>899</v>
      </c>
      <c r="C627" t="s">
        <v>1903</v>
      </c>
      <c r="D627" t="s">
        <v>900</v>
      </c>
      <c r="E627">
        <v>0</v>
      </c>
      <c r="F627" t="s">
        <v>901</v>
      </c>
      <c r="G627" t="s">
        <v>1626</v>
      </c>
      <c r="H627" t="s">
        <v>38</v>
      </c>
      <c r="I627" s="8">
        <v>0</v>
      </c>
      <c r="J627" s="69"/>
      <c r="K627" t="s">
        <v>1626</v>
      </c>
    </row>
    <row r="628" spans="1:11" x14ac:dyDescent="0.25">
      <c r="A628" s="5" t="s">
        <v>1463</v>
      </c>
      <c r="B628" t="s">
        <v>902</v>
      </c>
      <c r="C628">
        <v>120</v>
      </c>
      <c r="D628" t="s">
        <v>903</v>
      </c>
      <c r="E628">
        <v>0</v>
      </c>
      <c r="F628" t="s">
        <v>904</v>
      </c>
      <c r="G628" t="s">
        <v>1628</v>
      </c>
      <c r="H628">
        <v>120</v>
      </c>
      <c r="I628" s="8">
        <v>0</v>
      </c>
      <c r="J628" s="69"/>
      <c r="K628" t="s">
        <v>1626</v>
      </c>
    </row>
    <row r="629" spans="1:11" x14ac:dyDescent="0.25">
      <c r="A629" s="5" t="s">
        <v>1463</v>
      </c>
      <c r="B629" t="s">
        <v>902</v>
      </c>
      <c r="C629">
        <v>9998</v>
      </c>
      <c r="D629" t="s">
        <v>905</v>
      </c>
      <c r="E629">
        <v>0</v>
      </c>
      <c r="F629" t="s">
        <v>906</v>
      </c>
      <c r="G629" t="s">
        <v>1626</v>
      </c>
      <c r="H629">
        <v>9999</v>
      </c>
      <c r="I629" s="8">
        <v>0</v>
      </c>
      <c r="J629" s="69"/>
      <c r="K629" t="s">
        <v>1626</v>
      </c>
    </row>
    <row r="630" spans="1:11" x14ac:dyDescent="0.25">
      <c r="A630" s="5" t="s">
        <v>1463</v>
      </c>
      <c r="B630" t="s">
        <v>907</v>
      </c>
      <c r="C630">
        <v>480</v>
      </c>
      <c r="D630" t="s">
        <v>908</v>
      </c>
      <c r="E630">
        <v>0</v>
      </c>
      <c r="F630" t="s">
        <v>909</v>
      </c>
      <c r="G630" t="s">
        <v>1628</v>
      </c>
      <c r="H630">
        <v>480</v>
      </c>
      <c r="I630" s="8">
        <v>0</v>
      </c>
      <c r="J630" s="69"/>
      <c r="K630" t="s">
        <v>1626</v>
      </c>
    </row>
    <row r="631" spans="1:11" x14ac:dyDescent="0.25">
      <c r="A631" s="5" t="s">
        <v>1463</v>
      </c>
      <c r="B631" t="s">
        <v>907</v>
      </c>
      <c r="C631">
        <v>9998</v>
      </c>
      <c r="D631" t="s">
        <v>910</v>
      </c>
      <c r="E631">
        <v>0</v>
      </c>
      <c r="F631" t="s">
        <v>911</v>
      </c>
      <c r="G631" t="s">
        <v>1626</v>
      </c>
      <c r="H631">
        <v>9999</v>
      </c>
      <c r="I631" s="8">
        <v>0</v>
      </c>
      <c r="J631" s="69"/>
      <c r="K631" t="s">
        <v>1626</v>
      </c>
    </row>
    <row r="632" spans="1:11" x14ac:dyDescent="0.25">
      <c r="A632" s="5" t="s">
        <v>1463</v>
      </c>
      <c r="B632" t="s">
        <v>912</v>
      </c>
      <c r="C632">
        <v>9236.09</v>
      </c>
      <c r="D632" t="s">
        <v>914</v>
      </c>
      <c r="E632">
        <v>0</v>
      </c>
      <c r="F632" t="s">
        <v>74</v>
      </c>
      <c r="G632">
        <v>1016224600041</v>
      </c>
      <c r="H632">
        <v>10000</v>
      </c>
      <c r="I632" s="8">
        <v>0</v>
      </c>
      <c r="J632" s="69"/>
      <c r="K632" t="s">
        <v>1626</v>
      </c>
    </row>
    <row r="633" spans="1:11" x14ac:dyDescent="0.25">
      <c r="A633" s="5" t="s">
        <v>1463</v>
      </c>
      <c r="B633" t="s">
        <v>912</v>
      </c>
      <c r="C633">
        <v>9235.7800000000007</v>
      </c>
      <c r="D633" t="s">
        <v>919</v>
      </c>
      <c r="E633">
        <v>0</v>
      </c>
      <c r="F633" t="s">
        <v>84</v>
      </c>
      <c r="G633">
        <v>1016224602815</v>
      </c>
      <c r="H633">
        <v>10000</v>
      </c>
      <c r="I633" s="8">
        <v>0</v>
      </c>
      <c r="J633" s="69"/>
      <c r="K633" t="s">
        <v>1626</v>
      </c>
    </row>
    <row r="634" spans="1:11" x14ac:dyDescent="0.25">
      <c r="A634" s="5" t="s">
        <v>1463</v>
      </c>
      <c r="B634" t="s">
        <v>912</v>
      </c>
      <c r="C634">
        <v>9235.7800000000007</v>
      </c>
      <c r="D634" t="s">
        <v>916</v>
      </c>
      <c r="E634">
        <v>0</v>
      </c>
      <c r="F634" t="s">
        <v>78</v>
      </c>
      <c r="G634">
        <v>1016224603669</v>
      </c>
      <c r="H634">
        <v>10000</v>
      </c>
      <c r="I634" s="8">
        <v>0</v>
      </c>
      <c r="J634" s="69"/>
      <c r="K634" t="s">
        <v>1626</v>
      </c>
    </row>
    <row r="635" spans="1:11" x14ac:dyDescent="0.25">
      <c r="A635" s="5" t="s">
        <v>1463</v>
      </c>
      <c r="B635" t="s">
        <v>912</v>
      </c>
      <c r="C635">
        <v>9235.7800000000007</v>
      </c>
      <c r="D635" t="s">
        <v>917</v>
      </c>
      <c r="E635">
        <v>0</v>
      </c>
      <c r="F635" t="s">
        <v>80</v>
      </c>
      <c r="G635">
        <v>1016224603367</v>
      </c>
      <c r="H635">
        <v>10000</v>
      </c>
      <c r="I635" s="8">
        <v>0</v>
      </c>
      <c r="J635" s="69"/>
      <c r="K635" t="s">
        <v>1626</v>
      </c>
    </row>
    <row r="636" spans="1:11" x14ac:dyDescent="0.25">
      <c r="A636" s="5" t="s">
        <v>1463</v>
      </c>
      <c r="B636" t="s">
        <v>912</v>
      </c>
      <c r="C636">
        <v>9235.7800000000007</v>
      </c>
      <c r="D636" t="s">
        <v>918</v>
      </c>
      <c r="E636">
        <v>0</v>
      </c>
      <c r="F636" t="s">
        <v>82</v>
      </c>
      <c r="G636" t="s">
        <v>1631</v>
      </c>
      <c r="H636">
        <v>10000</v>
      </c>
      <c r="I636" s="8">
        <v>0</v>
      </c>
      <c r="J636" s="69"/>
      <c r="K636" t="s">
        <v>1626</v>
      </c>
    </row>
    <row r="637" spans="1:11" x14ac:dyDescent="0.25">
      <c r="A637" s="5" t="s">
        <v>1463</v>
      </c>
      <c r="B637" t="s">
        <v>912</v>
      </c>
      <c r="C637">
        <v>9235.7800000000007</v>
      </c>
      <c r="D637" t="s">
        <v>920</v>
      </c>
      <c r="E637">
        <v>0</v>
      </c>
      <c r="F637" t="s">
        <v>921</v>
      </c>
      <c r="G637">
        <v>916224603898</v>
      </c>
      <c r="H637">
        <v>10000</v>
      </c>
      <c r="I637" s="8">
        <v>0</v>
      </c>
      <c r="J637" s="69"/>
      <c r="K637" t="s">
        <v>1626</v>
      </c>
    </row>
    <row r="638" spans="1:11" x14ac:dyDescent="0.25">
      <c r="A638" s="5" t="s">
        <v>1463</v>
      </c>
      <c r="B638" t="s">
        <v>912</v>
      </c>
      <c r="C638">
        <v>9235.7800000000007</v>
      </c>
      <c r="D638" t="s">
        <v>915</v>
      </c>
      <c r="E638">
        <v>0</v>
      </c>
      <c r="F638" t="s">
        <v>76</v>
      </c>
      <c r="G638" t="s">
        <v>1634</v>
      </c>
      <c r="H638">
        <v>10000</v>
      </c>
      <c r="I638" s="8">
        <v>0</v>
      </c>
      <c r="J638" s="69"/>
      <c r="K638" t="s">
        <v>1626</v>
      </c>
    </row>
    <row r="639" spans="1:11" x14ac:dyDescent="0.25">
      <c r="A639" s="5" t="s">
        <v>1463</v>
      </c>
      <c r="B639" t="s">
        <v>912</v>
      </c>
      <c r="C639">
        <v>9235.7800000000007</v>
      </c>
      <c r="D639" t="s">
        <v>922</v>
      </c>
      <c r="E639">
        <v>0</v>
      </c>
      <c r="F639" t="s">
        <v>88</v>
      </c>
      <c r="G639" t="s">
        <v>1635</v>
      </c>
      <c r="H639">
        <v>10000</v>
      </c>
      <c r="I639" s="8">
        <v>0</v>
      </c>
      <c r="J639" s="69"/>
      <c r="K639" t="s">
        <v>1626</v>
      </c>
    </row>
    <row r="640" spans="1:11" x14ac:dyDescent="0.25">
      <c r="A640" s="5" t="s">
        <v>1463</v>
      </c>
      <c r="B640" t="s">
        <v>912</v>
      </c>
      <c r="C640">
        <v>18302.66</v>
      </c>
      <c r="D640" t="s">
        <v>923</v>
      </c>
      <c r="E640">
        <v>0</v>
      </c>
      <c r="F640" t="s">
        <v>924</v>
      </c>
      <c r="G640" t="s">
        <v>1626</v>
      </c>
      <c r="H640">
        <v>20000</v>
      </c>
      <c r="I640" s="8">
        <v>0</v>
      </c>
      <c r="J640" s="69"/>
      <c r="K640" t="s">
        <v>1626</v>
      </c>
    </row>
    <row r="641" spans="1:11" x14ac:dyDescent="0.25">
      <c r="A641" s="5" t="s">
        <v>1463</v>
      </c>
      <c r="B641" t="s">
        <v>912</v>
      </c>
      <c r="C641">
        <v>3435.78</v>
      </c>
      <c r="D641" t="s">
        <v>913</v>
      </c>
      <c r="E641">
        <v>0</v>
      </c>
      <c r="F641" t="s">
        <v>94</v>
      </c>
      <c r="G641">
        <v>56240051</v>
      </c>
      <c r="H641">
        <v>4200</v>
      </c>
      <c r="I641" s="8">
        <v>0</v>
      </c>
      <c r="J641" s="69"/>
      <c r="K641" t="s">
        <v>1626</v>
      </c>
    </row>
    <row r="642" spans="1:11" x14ac:dyDescent="0.25">
      <c r="A642" s="5" t="s">
        <v>1463</v>
      </c>
      <c r="B642" t="s">
        <v>925</v>
      </c>
      <c r="C642">
        <v>11846</v>
      </c>
      <c r="D642" t="s">
        <v>930</v>
      </c>
      <c r="E642">
        <v>0</v>
      </c>
      <c r="F642" t="s">
        <v>65</v>
      </c>
      <c r="G642" t="s">
        <v>1630</v>
      </c>
      <c r="H642">
        <v>15000</v>
      </c>
      <c r="I642" s="8">
        <v>0</v>
      </c>
      <c r="J642" s="69"/>
      <c r="K642" t="s">
        <v>1626</v>
      </c>
    </row>
    <row r="643" spans="1:11" x14ac:dyDescent="0.25">
      <c r="A643" s="5" t="s">
        <v>1463</v>
      </c>
      <c r="B643" t="s">
        <v>925</v>
      </c>
      <c r="C643">
        <v>11847</v>
      </c>
      <c r="D643" t="s">
        <v>931</v>
      </c>
      <c r="E643">
        <v>0</v>
      </c>
      <c r="F643" t="s">
        <v>70</v>
      </c>
      <c r="G643" t="s">
        <v>1633</v>
      </c>
      <c r="H643">
        <v>15000</v>
      </c>
      <c r="I643" s="8">
        <v>0</v>
      </c>
      <c r="J643" s="69"/>
      <c r="K643" t="s">
        <v>1626</v>
      </c>
    </row>
    <row r="644" spans="1:11" x14ac:dyDescent="0.25">
      <c r="A644" s="5" t="s">
        <v>1463</v>
      </c>
      <c r="B644" t="s">
        <v>925</v>
      </c>
      <c r="C644">
        <v>6847</v>
      </c>
      <c r="D644" t="s">
        <v>926</v>
      </c>
      <c r="E644">
        <v>0</v>
      </c>
      <c r="F644" t="s">
        <v>927</v>
      </c>
      <c r="G644">
        <v>1016240000069</v>
      </c>
      <c r="H644">
        <v>10000</v>
      </c>
      <c r="I644" s="8">
        <v>0</v>
      </c>
      <c r="J644" s="69"/>
      <c r="K644" t="s">
        <v>1626</v>
      </c>
    </row>
    <row r="645" spans="1:11" x14ac:dyDescent="0.25">
      <c r="A645" s="5" t="s">
        <v>1463</v>
      </c>
      <c r="B645" t="s">
        <v>925</v>
      </c>
      <c r="C645">
        <v>6847</v>
      </c>
      <c r="D645" t="s">
        <v>928</v>
      </c>
      <c r="E645">
        <v>0</v>
      </c>
      <c r="F645" t="s">
        <v>929</v>
      </c>
      <c r="G645">
        <v>100137419474</v>
      </c>
      <c r="H645">
        <v>10000</v>
      </c>
      <c r="I645" s="8">
        <v>0</v>
      </c>
      <c r="J645" s="69"/>
      <c r="K645" t="s">
        <v>1626</v>
      </c>
    </row>
    <row r="646" spans="1:11" x14ac:dyDescent="0.25">
      <c r="A646" s="5" t="s">
        <v>1463</v>
      </c>
      <c r="B646" t="s">
        <v>925</v>
      </c>
      <c r="C646" s="9">
        <v>16655</v>
      </c>
      <c r="D646" t="s">
        <v>932</v>
      </c>
      <c r="E646">
        <v>0</v>
      </c>
      <c r="F646" t="s">
        <v>933</v>
      </c>
      <c r="G646" t="s">
        <v>1626</v>
      </c>
      <c r="H646">
        <v>20000</v>
      </c>
      <c r="I646" s="8">
        <v>0</v>
      </c>
      <c r="J646" s="69"/>
      <c r="K646" t="s">
        <v>1626</v>
      </c>
    </row>
    <row r="647" spans="1:11" x14ac:dyDescent="0.25">
      <c r="A647" s="5" t="s">
        <v>1463</v>
      </c>
      <c r="B647" t="s">
        <v>934</v>
      </c>
      <c r="C647">
        <v>9999</v>
      </c>
      <c r="D647" t="s">
        <v>935</v>
      </c>
      <c r="E647">
        <v>0</v>
      </c>
      <c r="F647" t="s">
        <v>936</v>
      </c>
      <c r="G647" t="s">
        <v>1626</v>
      </c>
      <c r="H647">
        <v>9999</v>
      </c>
      <c r="I647" s="8">
        <v>0</v>
      </c>
      <c r="J647" s="69"/>
      <c r="K647" t="s">
        <v>1626</v>
      </c>
    </row>
    <row r="648" spans="1:11" x14ac:dyDescent="0.25">
      <c r="A648" s="5" t="s">
        <v>1463</v>
      </c>
      <c r="B648" t="s">
        <v>934</v>
      </c>
      <c r="C648">
        <v>120</v>
      </c>
      <c r="D648" t="s">
        <v>903</v>
      </c>
      <c r="E648">
        <v>0</v>
      </c>
      <c r="F648" t="s">
        <v>904</v>
      </c>
      <c r="G648" t="s">
        <v>1642</v>
      </c>
      <c r="H648">
        <v>120</v>
      </c>
      <c r="I648">
        <v>0</v>
      </c>
      <c r="J648" s="69"/>
      <c r="K648" t="s">
        <v>1626</v>
      </c>
    </row>
    <row r="649" spans="1:11" x14ac:dyDescent="0.25">
      <c r="A649" s="5" t="s">
        <v>1463</v>
      </c>
      <c r="B649" t="s">
        <v>937</v>
      </c>
      <c r="C649">
        <v>9999</v>
      </c>
      <c r="D649" t="s">
        <v>938</v>
      </c>
      <c r="E649">
        <v>0</v>
      </c>
      <c r="F649" t="s">
        <v>939</v>
      </c>
      <c r="G649" t="s">
        <v>1626</v>
      </c>
      <c r="H649">
        <v>9999</v>
      </c>
      <c r="I649">
        <v>0</v>
      </c>
      <c r="J649" s="69"/>
      <c r="K649" t="s">
        <v>1626</v>
      </c>
    </row>
    <row r="650" spans="1:11" x14ac:dyDescent="0.25">
      <c r="A650" s="5" t="s">
        <v>1463</v>
      </c>
      <c r="B650" t="s">
        <v>937</v>
      </c>
      <c r="C650">
        <v>464.16</v>
      </c>
      <c r="D650" t="s">
        <v>908</v>
      </c>
      <c r="E650">
        <v>0</v>
      </c>
      <c r="F650" t="s">
        <v>909</v>
      </c>
      <c r="G650" t="s">
        <v>1642</v>
      </c>
      <c r="H650">
        <v>480</v>
      </c>
      <c r="I650">
        <v>0</v>
      </c>
      <c r="J650" s="69"/>
      <c r="K650" t="s">
        <v>1626</v>
      </c>
    </row>
    <row r="651" spans="1:11" x14ac:dyDescent="0.25">
      <c r="A651" s="5" t="s">
        <v>1463</v>
      </c>
      <c r="B651" t="s">
        <v>940</v>
      </c>
      <c r="C651">
        <v>18200.23</v>
      </c>
      <c r="D651" t="s">
        <v>941</v>
      </c>
      <c r="E651">
        <v>0</v>
      </c>
      <c r="F651" t="s">
        <v>942</v>
      </c>
      <c r="G651" t="s">
        <v>1626</v>
      </c>
      <c r="H651">
        <v>20000</v>
      </c>
      <c r="I651">
        <v>0</v>
      </c>
      <c r="J651" s="69"/>
      <c r="K651" t="s">
        <v>1626</v>
      </c>
    </row>
    <row r="652" spans="1:11" x14ac:dyDescent="0.25">
      <c r="A652" s="5" t="s">
        <v>1463</v>
      </c>
      <c r="B652" t="s">
        <v>940</v>
      </c>
      <c r="C652">
        <v>7295.9</v>
      </c>
      <c r="D652" t="s">
        <v>914</v>
      </c>
      <c r="E652">
        <v>0</v>
      </c>
      <c r="F652" t="s">
        <v>74</v>
      </c>
      <c r="G652">
        <v>1116224600537</v>
      </c>
      <c r="H652">
        <v>10000</v>
      </c>
      <c r="I652">
        <v>0</v>
      </c>
      <c r="J652" s="69"/>
      <c r="K652" t="s">
        <v>1626</v>
      </c>
    </row>
    <row r="653" spans="1:11" x14ac:dyDescent="0.25">
      <c r="A653" s="5" t="s">
        <v>1463</v>
      </c>
      <c r="B653" t="s">
        <v>940</v>
      </c>
      <c r="C653">
        <v>7295.9</v>
      </c>
      <c r="D653" t="s">
        <v>919</v>
      </c>
      <c r="E653">
        <v>0</v>
      </c>
      <c r="F653" t="s">
        <v>84</v>
      </c>
      <c r="G653">
        <v>1016224602811</v>
      </c>
      <c r="H653">
        <v>10000</v>
      </c>
      <c r="I653">
        <v>0</v>
      </c>
      <c r="J653" s="69"/>
      <c r="K653" t="s">
        <v>1626</v>
      </c>
    </row>
    <row r="654" spans="1:11" x14ac:dyDescent="0.25">
      <c r="A654" s="5" t="s">
        <v>1463</v>
      </c>
      <c r="B654" t="s">
        <v>940</v>
      </c>
      <c r="C654">
        <v>7295.9</v>
      </c>
      <c r="D654" t="s">
        <v>915</v>
      </c>
      <c r="E654">
        <v>0</v>
      </c>
      <c r="F654" t="s">
        <v>76</v>
      </c>
      <c r="G654">
        <v>1016224604789</v>
      </c>
      <c r="H654">
        <v>10000</v>
      </c>
      <c r="I654">
        <v>0</v>
      </c>
      <c r="J654" s="69"/>
      <c r="K654" t="s">
        <v>1626</v>
      </c>
    </row>
    <row r="655" spans="1:11" x14ac:dyDescent="0.25">
      <c r="A655" s="5" t="s">
        <v>1463</v>
      </c>
      <c r="B655" t="s">
        <v>940</v>
      </c>
      <c r="C655">
        <v>7295.9</v>
      </c>
      <c r="D655" t="s">
        <v>916</v>
      </c>
      <c r="E655">
        <v>0</v>
      </c>
      <c r="F655" t="s">
        <v>78</v>
      </c>
      <c r="G655">
        <v>1016224601393</v>
      </c>
      <c r="H655">
        <v>10000</v>
      </c>
      <c r="I655">
        <v>0</v>
      </c>
      <c r="J655" s="69"/>
      <c r="K655" t="s">
        <v>1626</v>
      </c>
    </row>
    <row r="656" spans="1:11" x14ac:dyDescent="0.25">
      <c r="A656" s="5" t="s">
        <v>1463</v>
      </c>
      <c r="B656" t="s">
        <v>940</v>
      </c>
      <c r="C656">
        <v>7295.9</v>
      </c>
      <c r="D656" t="s">
        <v>917</v>
      </c>
      <c r="E656">
        <v>0</v>
      </c>
      <c r="F656" t="s">
        <v>80</v>
      </c>
      <c r="G656" t="s">
        <v>1646</v>
      </c>
      <c r="H656">
        <v>10000</v>
      </c>
      <c r="I656">
        <v>0</v>
      </c>
      <c r="J656" s="69"/>
      <c r="K656" t="s">
        <v>1626</v>
      </c>
    </row>
    <row r="657" spans="1:11" x14ac:dyDescent="0.25">
      <c r="A657" s="5" t="s">
        <v>1463</v>
      </c>
      <c r="B657" t="s">
        <v>940</v>
      </c>
      <c r="C657">
        <v>7295.9</v>
      </c>
      <c r="D657" t="s">
        <v>918</v>
      </c>
      <c r="E657">
        <v>0</v>
      </c>
      <c r="F657" t="s">
        <v>82</v>
      </c>
      <c r="G657" t="s">
        <v>1647</v>
      </c>
      <c r="H657">
        <v>10000</v>
      </c>
      <c r="I657">
        <v>0</v>
      </c>
      <c r="J657" s="69"/>
      <c r="K657" t="s">
        <v>1626</v>
      </c>
    </row>
    <row r="658" spans="1:11" x14ac:dyDescent="0.25">
      <c r="A658" s="5" t="s">
        <v>1463</v>
      </c>
      <c r="B658" t="s">
        <v>940</v>
      </c>
      <c r="C658">
        <v>7295.9</v>
      </c>
      <c r="D658" t="s">
        <v>920</v>
      </c>
      <c r="E658">
        <v>0</v>
      </c>
      <c r="F658" t="s">
        <v>921</v>
      </c>
      <c r="G658">
        <v>916224603865</v>
      </c>
      <c r="H658">
        <v>10000</v>
      </c>
      <c r="I658">
        <v>0</v>
      </c>
      <c r="J658" s="69"/>
      <c r="K658" t="s">
        <v>1626</v>
      </c>
    </row>
    <row r="659" spans="1:11" x14ac:dyDescent="0.25">
      <c r="A659" s="5" t="s">
        <v>1463</v>
      </c>
      <c r="B659" t="s">
        <v>940</v>
      </c>
      <c r="C659">
        <v>7295.9</v>
      </c>
      <c r="D659" t="s">
        <v>922</v>
      </c>
      <c r="E659">
        <v>0</v>
      </c>
      <c r="F659" t="s">
        <v>88</v>
      </c>
      <c r="G659" t="s">
        <v>1648</v>
      </c>
      <c r="H659">
        <v>10000</v>
      </c>
      <c r="I659">
        <v>0</v>
      </c>
      <c r="J659" s="69"/>
      <c r="K659" t="s">
        <v>1626</v>
      </c>
    </row>
    <row r="660" spans="1:11" x14ac:dyDescent="0.25">
      <c r="A660" s="5" t="s">
        <v>1463</v>
      </c>
      <c r="B660" t="s">
        <v>940</v>
      </c>
      <c r="C660">
        <v>1495.9</v>
      </c>
      <c r="D660" t="s">
        <v>913</v>
      </c>
      <c r="E660">
        <v>0</v>
      </c>
      <c r="F660" t="s">
        <v>94</v>
      </c>
      <c r="G660">
        <v>56240074</v>
      </c>
      <c r="H660">
        <v>4200</v>
      </c>
      <c r="I660">
        <v>0</v>
      </c>
      <c r="J660" s="69"/>
      <c r="K660" t="s">
        <v>1626</v>
      </c>
    </row>
    <row r="661" spans="1:11" x14ac:dyDescent="0.25">
      <c r="A661" s="5" t="s">
        <v>1463</v>
      </c>
      <c r="B661" t="s">
        <v>943</v>
      </c>
      <c r="C661">
        <v>16699</v>
      </c>
      <c r="D661" t="s">
        <v>944</v>
      </c>
      <c r="E661">
        <v>0</v>
      </c>
      <c r="F661" t="s">
        <v>945</v>
      </c>
      <c r="G661" t="s">
        <v>1626</v>
      </c>
      <c r="H661">
        <v>20000</v>
      </c>
      <c r="I661">
        <v>0</v>
      </c>
      <c r="J661" s="69"/>
      <c r="K661" t="s">
        <v>1626</v>
      </c>
    </row>
    <row r="662" spans="1:11" x14ac:dyDescent="0.25">
      <c r="A662" s="5" t="s">
        <v>1463</v>
      </c>
      <c r="B662" t="s">
        <v>943</v>
      </c>
      <c r="C662">
        <v>11506</v>
      </c>
      <c r="D662" t="s">
        <v>930</v>
      </c>
      <c r="E662">
        <v>0</v>
      </c>
      <c r="F662" t="s">
        <v>65</v>
      </c>
      <c r="G662" t="s">
        <v>1643</v>
      </c>
      <c r="H662">
        <v>15000</v>
      </c>
      <c r="I662">
        <v>0</v>
      </c>
      <c r="J662" s="69"/>
      <c r="K662" t="s">
        <v>1626</v>
      </c>
    </row>
    <row r="663" spans="1:11" x14ac:dyDescent="0.25">
      <c r="A663" s="5" t="s">
        <v>1463</v>
      </c>
      <c r="B663" t="s">
        <v>943</v>
      </c>
      <c r="C663">
        <v>11506</v>
      </c>
      <c r="D663" t="s">
        <v>931</v>
      </c>
      <c r="E663">
        <v>0</v>
      </c>
      <c r="F663" t="s">
        <v>70</v>
      </c>
      <c r="G663" t="s">
        <v>1645</v>
      </c>
      <c r="H663">
        <v>15000</v>
      </c>
      <c r="I663">
        <v>0</v>
      </c>
      <c r="J663" s="69"/>
      <c r="K663" t="s">
        <v>1626</v>
      </c>
    </row>
    <row r="664" spans="1:11" x14ac:dyDescent="0.25">
      <c r="A664" s="5" t="s">
        <v>1463</v>
      </c>
      <c r="B664" t="s">
        <v>943</v>
      </c>
      <c r="C664">
        <v>6683.63</v>
      </c>
      <c r="D664" t="s">
        <v>926</v>
      </c>
      <c r="E664">
        <v>0</v>
      </c>
      <c r="F664" t="s">
        <v>927</v>
      </c>
      <c r="G664">
        <v>1116240000011</v>
      </c>
      <c r="H664">
        <v>10000</v>
      </c>
      <c r="I664">
        <v>0</v>
      </c>
      <c r="J664" s="69"/>
      <c r="K664" t="s">
        <v>1626</v>
      </c>
    </row>
    <row r="665" spans="1:11" x14ac:dyDescent="0.25">
      <c r="A665" s="5" t="s">
        <v>1463</v>
      </c>
      <c r="B665" t="s">
        <v>943</v>
      </c>
      <c r="C665">
        <v>6683.63</v>
      </c>
      <c r="D665" t="s">
        <v>928</v>
      </c>
      <c r="E665">
        <v>0</v>
      </c>
      <c r="F665" t="s">
        <v>929</v>
      </c>
      <c r="G665">
        <v>90137418756</v>
      </c>
      <c r="H665">
        <v>10000</v>
      </c>
      <c r="I665">
        <v>0</v>
      </c>
      <c r="J665" s="69"/>
      <c r="K665" t="s">
        <v>1626</v>
      </c>
    </row>
    <row r="666" spans="1:11" x14ac:dyDescent="0.25">
      <c r="A666" s="5" t="s">
        <v>1463</v>
      </c>
      <c r="B666" t="s">
        <v>946</v>
      </c>
      <c r="C666">
        <v>11737.5</v>
      </c>
      <c r="D666" t="s">
        <v>947</v>
      </c>
      <c r="E666">
        <v>0</v>
      </c>
      <c r="F666" t="s">
        <v>68</v>
      </c>
      <c r="G666" t="s">
        <v>1632</v>
      </c>
      <c r="H666">
        <v>15000</v>
      </c>
      <c r="I666">
        <v>0</v>
      </c>
      <c r="J666" s="69"/>
      <c r="K666" t="s">
        <v>1626</v>
      </c>
    </row>
    <row r="667" spans="1:11" x14ac:dyDescent="0.25">
      <c r="A667" s="5" t="s">
        <v>1463</v>
      </c>
      <c r="B667" t="s">
        <v>946</v>
      </c>
      <c r="C667">
        <v>16624.509999999998</v>
      </c>
      <c r="D667" t="s">
        <v>948</v>
      </c>
      <c r="E667">
        <v>0</v>
      </c>
      <c r="F667" t="s">
        <v>949</v>
      </c>
      <c r="G667" t="s">
        <v>1626</v>
      </c>
      <c r="H667">
        <v>20000</v>
      </c>
      <c r="I667">
        <v>0</v>
      </c>
      <c r="J667" s="69"/>
      <c r="K667" t="s">
        <v>1626</v>
      </c>
    </row>
    <row r="668" spans="1:11" x14ac:dyDescent="0.25">
      <c r="A668" s="5" t="s">
        <v>1463</v>
      </c>
      <c r="B668" t="s">
        <v>950</v>
      </c>
      <c r="C668">
        <v>16642.599999999999</v>
      </c>
      <c r="D668" t="s">
        <v>951</v>
      </c>
      <c r="E668">
        <v>0</v>
      </c>
      <c r="F668" t="s">
        <v>952</v>
      </c>
      <c r="G668" t="s">
        <v>1626</v>
      </c>
      <c r="H668">
        <v>20000</v>
      </c>
      <c r="I668">
        <v>0</v>
      </c>
      <c r="J668" s="69"/>
      <c r="K668" t="s">
        <v>1626</v>
      </c>
    </row>
    <row r="669" spans="1:11" x14ac:dyDescent="0.25">
      <c r="A669" s="5" t="s">
        <v>1463</v>
      </c>
      <c r="B669" t="s">
        <v>950</v>
      </c>
      <c r="C669">
        <v>11087.5</v>
      </c>
      <c r="D669" t="s">
        <v>947</v>
      </c>
      <c r="E669">
        <v>0</v>
      </c>
      <c r="F669" t="s">
        <v>68</v>
      </c>
      <c r="G669" t="s">
        <v>1644</v>
      </c>
      <c r="H669">
        <v>15000</v>
      </c>
      <c r="I669">
        <v>0</v>
      </c>
      <c r="J669" s="69"/>
      <c r="K669" t="s">
        <v>1626</v>
      </c>
    </row>
    <row r="670" spans="1:11" x14ac:dyDescent="0.25">
      <c r="A670" s="5" t="s">
        <v>1463</v>
      </c>
      <c r="B670" t="s">
        <v>953</v>
      </c>
      <c r="C670">
        <v>9406</v>
      </c>
      <c r="D670" t="s">
        <v>954</v>
      </c>
      <c r="E670">
        <v>0</v>
      </c>
      <c r="F670" t="s">
        <v>955</v>
      </c>
      <c r="G670" t="s">
        <v>1628</v>
      </c>
      <c r="H670">
        <v>10000</v>
      </c>
      <c r="I670">
        <v>0</v>
      </c>
      <c r="J670" s="69"/>
      <c r="K670" t="s">
        <v>1626</v>
      </c>
    </row>
    <row r="671" spans="1:11" x14ac:dyDescent="0.25">
      <c r="A671" s="5" t="s">
        <v>1463</v>
      </c>
      <c r="B671" t="s">
        <v>953</v>
      </c>
      <c r="C671">
        <v>19287</v>
      </c>
      <c r="D671" t="s">
        <v>956</v>
      </c>
      <c r="E671">
        <v>0</v>
      </c>
      <c r="F671" t="s">
        <v>957</v>
      </c>
      <c r="G671" t="s">
        <v>1626</v>
      </c>
      <c r="H671">
        <v>20000</v>
      </c>
      <c r="I671">
        <v>0</v>
      </c>
      <c r="J671" s="69"/>
      <c r="K671" t="s">
        <v>1626</v>
      </c>
    </row>
    <row r="672" spans="1:11" x14ac:dyDescent="0.25">
      <c r="A672" s="5" t="s">
        <v>1463</v>
      </c>
      <c r="B672" t="s">
        <v>953</v>
      </c>
      <c r="C672">
        <v>9643.7000000000007</v>
      </c>
      <c r="D672" t="s">
        <v>954</v>
      </c>
      <c r="E672">
        <v>0</v>
      </c>
      <c r="F672" t="s">
        <v>955</v>
      </c>
      <c r="G672" t="s">
        <v>1642</v>
      </c>
      <c r="H672">
        <v>10000</v>
      </c>
      <c r="I672">
        <v>0</v>
      </c>
      <c r="J672" s="69"/>
      <c r="K672" t="s">
        <v>1626</v>
      </c>
    </row>
    <row r="673" spans="1:11" x14ac:dyDescent="0.25">
      <c r="A673" s="5" t="s">
        <v>1463</v>
      </c>
      <c r="B673" t="s">
        <v>958</v>
      </c>
      <c r="C673">
        <v>95016</v>
      </c>
      <c r="D673" t="s">
        <v>959</v>
      </c>
      <c r="E673">
        <v>0</v>
      </c>
      <c r="F673" t="s">
        <v>960</v>
      </c>
      <c r="G673" t="s">
        <v>1626</v>
      </c>
      <c r="H673">
        <v>100000</v>
      </c>
      <c r="I673">
        <v>0</v>
      </c>
      <c r="J673" s="69"/>
      <c r="K673" t="s">
        <v>1626</v>
      </c>
    </row>
    <row r="674" spans="1:11" x14ac:dyDescent="0.25">
      <c r="A674" s="5" t="s">
        <v>1463</v>
      </c>
      <c r="B674" t="s">
        <v>961</v>
      </c>
      <c r="C674">
        <v>99588</v>
      </c>
      <c r="D674" t="s">
        <v>962</v>
      </c>
      <c r="E674">
        <v>0</v>
      </c>
      <c r="F674" t="s">
        <v>963</v>
      </c>
      <c r="G674" t="s">
        <v>1626</v>
      </c>
      <c r="H674">
        <v>100000</v>
      </c>
      <c r="I674">
        <v>0</v>
      </c>
      <c r="J674" s="69"/>
      <c r="K674" t="s">
        <v>1626</v>
      </c>
    </row>
    <row r="675" spans="1:11" x14ac:dyDescent="0.25">
      <c r="A675" s="5" t="s">
        <v>1463</v>
      </c>
      <c r="B675" t="s">
        <v>964</v>
      </c>
      <c r="C675">
        <v>99791</v>
      </c>
      <c r="D675" t="s">
        <v>965</v>
      </c>
      <c r="E675">
        <v>0</v>
      </c>
      <c r="F675" t="s">
        <v>966</v>
      </c>
      <c r="G675" t="s">
        <v>1626</v>
      </c>
      <c r="H675">
        <v>100000</v>
      </c>
      <c r="I675">
        <v>0</v>
      </c>
      <c r="J675" s="69"/>
      <c r="K675" t="s">
        <v>1626</v>
      </c>
    </row>
    <row r="676" spans="1:11" x14ac:dyDescent="0.25">
      <c r="A676" s="5" t="s">
        <v>1463</v>
      </c>
      <c r="B676" t="s">
        <v>967</v>
      </c>
      <c r="C676">
        <v>99967</v>
      </c>
      <c r="D676" t="s">
        <v>968</v>
      </c>
      <c r="E676">
        <v>0</v>
      </c>
      <c r="F676" t="s">
        <v>969</v>
      </c>
      <c r="G676" t="s">
        <v>1626</v>
      </c>
      <c r="H676">
        <v>100000</v>
      </c>
      <c r="I676">
        <v>0</v>
      </c>
      <c r="J676" s="69"/>
      <c r="K676" t="s">
        <v>1626</v>
      </c>
    </row>
    <row r="677" spans="1:11" x14ac:dyDescent="0.25">
      <c r="A677" s="5" t="s">
        <v>1463</v>
      </c>
      <c r="B677" t="s">
        <v>970</v>
      </c>
      <c r="C677">
        <v>99997.53</v>
      </c>
      <c r="D677" t="s">
        <v>971</v>
      </c>
      <c r="E677">
        <v>0</v>
      </c>
      <c r="F677" t="s">
        <v>972</v>
      </c>
      <c r="G677" t="s">
        <v>1626</v>
      </c>
      <c r="H677">
        <v>99999</v>
      </c>
      <c r="I677">
        <v>0</v>
      </c>
      <c r="J677" s="69"/>
      <c r="K677" t="s">
        <v>1626</v>
      </c>
    </row>
    <row r="678" spans="1:11" x14ac:dyDescent="0.25">
      <c r="A678" s="5" t="s">
        <v>1463</v>
      </c>
      <c r="B678" t="s">
        <v>973</v>
      </c>
      <c r="C678">
        <v>2000</v>
      </c>
      <c r="D678" t="s">
        <v>974</v>
      </c>
      <c r="E678">
        <v>0</v>
      </c>
      <c r="F678" t="s">
        <v>975</v>
      </c>
      <c r="G678" t="s">
        <v>1626</v>
      </c>
      <c r="H678">
        <v>2000</v>
      </c>
      <c r="I678">
        <v>0</v>
      </c>
      <c r="J678" s="69"/>
      <c r="K678" t="s">
        <v>1626</v>
      </c>
    </row>
    <row r="679" spans="1:11" x14ac:dyDescent="0.25">
      <c r="A679" s="5" t="s">
        <v>1463</v>
      </c>
      <c r="B679" t="s">
        <v>973</v>
      </c>
      <c r="C679">
        <v>0</v>
      </c>
      <c r="D679" t="s">
        <v>1579</v>
      </c>
      <c r="E679">
        <v>0</v>
      </c>
      <c r="F679" t="s">
        <v>1580</v>
      </c>
      <c r="G679">
        <v>516874</v>
      </c>
      <c r="H679">
        <v>10</v>
      </c>
      <c r="I679">
        <v>0</v>
      </c>
      <c r="J679" s="69"/>
      <c r="K679" t="s">
        <v>1626</v>
      </c>
    </row>
    <row r="680" spans="1:11" x14ac:dyDescent="0.25">
      <c r="A680" s="5" t="s">
        <v>1463</v>
      </c>
      <c r="B680" t="s">
        <v>973</v>
      </c>
      <c r="C680">
        <v>0</v>
      </c>
      <c r="D680" t="s">
        <v>1583</v>
      </c>
      <c r="E680">
        <v>0</v>
      </c>
      <c r="F680" t="s">
        <v>1584</v>
      </c>
      <c r="G680">
        <v>411866</v>
      </c>
      <c r="H680">
        <v>10</v>
      </c>
      <c r="I680">
        <v>0</v>
      </c>
      <c r="J680" s="69"/>
      <c r="K680" t="s">
        <v>1626</v>
      </c>
    </row>
    <row r="681" spans="1:11" x14ac:dyDescent="0.25">
      <c r="A681" s="5" t="s">
        <v>1463</v>
      </c>
      <c r="B681" t="s">
        <v>973</v>
      </c>
      <c r="C681">
        <v>0</v>
      </c>
      <c r="D681" t="s">
        <v>1581</v>
      </c>
      <c r="E681">
        <v>0</v>
      </c>
      <c r="F681" t="s">
        <v>1582</v>
      </c>
      <c r="G681">
        <v>414871</v>
      </c>
      <c r="H681">
        <v>10</v>
      </c>
      <c r="I681">
        <v>0</v>
      </c>
      <c r="J681" s="69"/>
      <c r="K681" t="s">
        <v>1626</v>
      </c>
    </row>
    <row r="682" spans="1:11" x14ac:dyDescent="0.25">
      <c r="A682" s="5" t="s">
        <v>1463</v>
      </c>
      <c r="B682" t="s">
        <v>973</v>
      </c>
      <c r="C682">
        <v>9</v>
      </c>
      <c r="D682" t="s">
        <v>1585</v>
      </c>
      <c r="E682">
        <v>0</v>
      </c>
      <c r="F682" t="s">
        <v>1586</v>
      </c>
      <c r="G682">
        <v>20034736</v>
      </c>
      <c r="H682">
        <v>10</v>
      </c>
      <c r="I682">
        <v>0</v>
      </c>
      <c r="J682" s="69"/>
      <c r="K682" t="s">
        <v>1626</v>
      </c>
    </row>
    <row r="683" spans="1:11" x14ac:dyDescent="0.25">
      <c r="A683" s="5" t="s">
        <v>1463</v>
      </c>
      <c r="B683" t="s">
        <v>976</v>
      </c>
      <c r="C683">
        <v>9348</v>
      </c>
      <c r="D683" t="s">
        <v>980</v>
      </c>
      <c r="E683">
        <v>0</v>
      </c>
      <c r="F683" t="s">
        <v>981</v>
      </c>
      <c r="G683" t="s">
        <v>1787</v>
      </c>
      <c r="H683">
        <v>12000</v>
      </c>
      <c r="I683">
        <v>0</v>
      </c>
      <c r="J683" s="69"/>
      <c r="K683" t="s">
        <v>1626</v>
      </c>
    </row>
    <row r="684" spans="1:11" x14ac:dyDescent="0.25">
      <c r="A684" s="5" t="s">
        <v>1463</v>
      </c>
      <c r="B684" t="s">
        <v>976</v>
      </c>
      <c r="C684">
        <v>56985</v>
      </c>
      <c r="D684" t="s">
        <v>985</v>
      </c>
      <c r="E684">
        <v>0</v>
      </c>
      <c r="F684" t="s">
        <v>986</v>
      </c>
      <c r="G684" t="s">
        <v>1626</v>
      </c>
      <c r="H684">
        <v>60000</v>
      </c>
      <c r="I684">
        <v>0</v>
      </c>
      <c r="J684" s="69"/>
      <c r="K684" t="s">
        <v>1626</v>
      </c>
    </row>
    <row r="685" spans="1:11" x14ac:dyDescent="0.25">
      <c r="A685" s="5" t="s">
        <v>1463</v>
      </c>
      <c r="B685" t="s">
        <v>976</v>
      </c>
      <c r="C685">
        <v>1185</v>
      </c>
      <c r="D685" t="s">
        <v>977</v>
      </c>
      <c r="E685">
        <v>0</v>
      </c>
      <c r="F685" t="s">
        <v>421</v>
      </c>
      <c r="G685" t="s">
        <v>1702</v>
      </c>
      <c r="H685">
        <v>4200</v>
      </c>
      <c r="I685">
        <v>0</v>
      </c>
      <c r="J685" s="69"/>
      <c r="K685" t="s">
        <v>1626</v>
      </c>
    </row>
    <row r="686" spans="1:11" x14ac:dyDescent="0.25">
      <c r="A686" s="5" t="s">
        <v>1463</v>
      </c>
      <c r="B686" t="s">
        <v>976</v>
      </c>
      <c r="C686">
        <v>1185</v>
      </c>
      <c r="D686" t="s">
        <v>977</v>
      </c>
      <c r="E686">
        <v>0</v>
      </c>
      <c r="F686" t="s">
        <v>421</v>
      </c>
      <c r="G686" t="s">
        <v>1703</v>
      </c>
      <c r="H686">
        <v>4200</v>
      </c>
      <c r="I686">
        <v>0</v>
      </c>
      <c r="J686" s="69"/>
      <c r="K686" t="s">
        <v>1626</v>
      </c>
    </row>
    <row r="687" spans="1:11" x14ac:dyDescent="0.25">
      <c r="A687" s="5" t="s">
        <v>1463</v>
      </c>
      <c r="B687" t="s">
        <v>976</v>
      </c>
      <c r="C687">
        <v>8964</v>
      </c>
      <c r="D687" t="s">
        <v>980</v>
      </c>
      <c r="E687">
        <v>0</v>
      </c>
      <c r="F687" t="s">
        <v>981</v>
      </c>
      <c r="G687" t="s">
        <v>1786</v>
      </c>
      <c r="H687">
        <v>12000</v>
      </c>
      <c r="I687">
        <v>0</v>
      </c>
      <c r="J687" s="69"/>
      <c r="K687" t="s">
        <v>1626</v>
      </c>
    </row>
    <row r="688" spans="1:11" x14ac:dyDescent="0.25">
      <c r="A688" s="5" t="s">
        <v>1463</v>
      </c>
      <c r="B688" t="s">
        <v>976</v>
      </c>
      <c r="C688">
        <v>1588</v>
      </c>
      <c r="D688" t="s">
        <v>978</v>
      </c>
      <c r="E688">
        <v>0</v>
      </c>
      <c r="F688" t="s">
        <v>423</v>
      </c>
      <c r="G688" t="s">
        <v>1708</v>
      </c>
      <c r="H688">
        <v>4200</v>
      </c>
      <c r="I688">
        <v>0</v>
      </c>
      <c r="J688" s="69"/>
      <c r="K688" t="s">
        <v>1626</v>
      </c>
    </row>
    <row r="689" spans="1:11" x14ac:dyDescent="0.25">
      <c r="A689" s="5" t="s">
        <v>1463</v>
      </c>
      <c r="B689" t="s">
        <v>976</v>
      </c>
      <c r="C689">
        <v>55908</v>
      </c>
      <c r="D689" t="s">
        <v>984</v>
      </c>
      <c r="E689">
        <v>0</v>
      </c>
      <c r="F689" t="s">
        <v>833</v>
      </c>
      <c r="G689" t="s">
        <v>1783</v>
      </c>
      <c r="H689">
        <v>58520</v>
      </c>
      <c r="I689">
        <v>0</v>
      </c>
      <c r="J689" s="69"/>
      <c r="K689" t="s">
        <v>1626</v>
      </c>
    </row>
    <row r="690" spans="1:11" x14ac:dyDescent="0.25">
      <c r="A690" s="5" t="s">
        <v>1463</v>
      </c>
      <c r="B690" t="s">
        <v>976</v>
      </c>
      <c r="C690">
        <v>10049</v>
      </c>
      <c r="D690" t="s">
        <v>979</v>
      </c>
      <c r="E690">
        <v>0</v>
      </c>
      <c r="F690" t="s">
        <v>659</v>
      </c>
      <c r="G690" t="s">
        <v>1750</v>
      </c>
      <c r="H690">
        <v>12000</v>
      </c>
      <c r="I690">
        <v>0</v>
      </c>
      <c r="J690" s="69"/>
      <c r="K690" t="s">
        <v>1626</v>
      </c>
    </row>
    <row r="691" spans="1:11" x14ac:dyDescent="0.25">
      <c r="A691" s="5" t="s">
        <v>1463</v>
      </c>
      <c r="B691" t="s">
        <v>976</v>
      </c>
      <c r="C691">
        <v>10235</v>
      </c>
      <c r="D691" t="s">
        <v>982</v>
      </c>
      <c r="E691">
        <v>0</v>
      </c>
      <c r="F691" t="s">
        <v>673</v>
      </c>
      <c r="G691" t="s">
        <v>1751</v>
      </c>
      <c r="H691">
        <v>12000</v>
      </c>
      <c r="I691">
        <v>0</v>
      </c>
      <c r="J691" s="69"/>
      <c r="K691" t="s">
        <v>1626</v>
      </c>
    </row>
    <row r="692" spans="1:11" x14ac:dyDescent="0.25">
      <c r="A692" s="5" t="s">
        <v>1463</v>
      </c>
      <c r="B692" t="s">
        <v>976</v>
      </c>
      <c r="C692">
        <v>19641</v>
      </c>
      <c r="D692" t="s">
        <v>983</v>
      </c>
      <c r="E692">
        <v>0</v>
      </c>
      <c r="F692" t="s">
        <v>603</v>
      </c>
      <c r="G692" t="s">
        <v>1749</v>
      </c>
      <c r="H692">
        <v>21470</v>
      </c>
      <c r="I692">
        <v>0</v>
      </c>
      <c r="J692" s="69"/>
      <c r="K692" t="s">
        <v>1626</v>
      </c>
    </row>
    <row r="693" spans="1:11" x14ac:dyDescent="0.25">
      <c r="A693" s="5" t="s">
        <v>1463</v>
      </c>
      <c r="B693" t="s">
        <v>976</v>
      </c>
      <c r="C693">
        <v>18859</v>
      </c>
      <c r="D693" t="s">
        <v>983</v>
      </c>
      <c r="E693">
        <v>0</v>
      </c>
      <c r="F693" t="s">
        <v>603</v>
      </c>
      <c r="G693" t="s">
        <v>1748</v>
      </c>
      <c r="H693">
        <v>21470</v>
      </c>
      <c r="I693">
        <v>0</v>
      </c>
      <c r="J693" s="69"/>
      <c r="K693" t="s">
        <v>1626</v>
      </c>
    </row>
    <row r="694" spans="1:11" x14ac:dyDescent="0.25">
      <c r="A694" s="5" t="s">
        <v>1463</v>
      </c>
      <c r="B694" t="s">
        <v>976</v>
      </c>
      <c r="C694">
        <v>10555</v>
      </c>
      <c r="D694" t="s">
        <v>982</v>
      </c>
      <c r="E694">
        <v>0</v>
      </c>
      <c r="F694" t="s">
        <v>673</v>
      </c>
      <c r="G694" t="s">
        <v>1752</v>
      </c>
      <c r="H694">
        <v>12000</v>
      </c>
      <c r="I694">
        <v>0</v>
      </c>
      <c r="J694" s="69"/>
      <c r="K694" t="s">
        <v>1626</v>
      </c>
    </row>
    <row r="695" spans="1:11" x14ac:dyDescent="0.25">
      <c r="A695" s="5" t="s">
        <v>1463</v>
      </c>
      <c r="B695" t="s">
        <v>976</v>
      </c>
      <c r="C695">
        <v>10969</v>
      </c>
      <c r="D695" t="s">
        <v>979</v>
      </c>
      <c r="E695">
        <v>0</v>
      </c>
      <c r="F695" t="s">
        <v>659</v>
      </c>
      <c r="G695" t="s">
        <v>1753</v>
      </c>
      <c r="H695">
        <v>12000</v>
      </c>
      <c r="I695">
        <v>0</v>
      </c>
      <c r="J695" s="69"/>
      <c r="K695" t="s">
        <v>1626</v>
      </c>
    </row>
    <row r="696" spans="1:11" x14ac:dyDescent="0.25">
      <c r="A696" s="5" t="s">
        <v>1463</v>
      </c>
      <c r="B696" t="s">
        <v>987</v>
      </c>
      <c r="C696">
        <v>99945</v>
      </c>
      <c r="D696" t="s">
        <v>988</v>
      </c>
      <c r="E696">
        <v>0</v>
      </c>
      <c r="F696" t="s">
        <v>989</v>
      </c>
      <c r="G696" t="s">
        <v>1626</v>
      </c>
      <c r="H696">
        <v>99999</v>
      </c>
      <c r="I696">
        <v>0</v>
      </c>
      <c r="J696" s="69"/>
      <c r="K696" t="s">
        <v>1626</v>
      </c>
    </row>
    <row r="697" spans="1:11" x14ac:dyDescent="0.25">
      <c r="A697" s="5" t="s">
        <v>1463</v>
      </c>
      <c r="B697" t="s">
        <v>990</v>
      </c>
      <c r="C697">
        <v>991300</v>
      </c>
      <c r="D697" t="s">
        <v>991</v>
      </c>
      <c r="E697">
        <v>0</v>
      </c>
      <c r="F697" t="s">
        <v>992</v>
      </c>
      <c r="G697" t="s">
        <v>1626</v>
      </c>
      <c r="H697">
        <v>1000000</v>
      </c>
      <c r="I697">
        <v>0</v>
      </c>
      <c r="J697" s="69"/>
      <c r="K697" t="s">
        <v>1626</v>
      </c>
    </row>
    <row r="698" spans="1:11" x14ac:dyDescent="0.25">
      <c r="A698" s="5" t="s">
        <v>1463</v>
      </c>
      <c r="B698" t="s">
        <v>993</v>
      </c>
      <c r="C698">
        <v>9547</v>
      </c>
      <c r="D698" t="s">
        <v>994</v>
      </c>
      <c r="E698">
        <v>0</v>
      </c>
      <c r="F698" t="s">
        <v>995</v>
      </c>
      <c r="G698" t="s">
        <v>1626</v>
      </c>
      <c r="H698">
        <v>10000</v>
      </c>
      <c r="I698">
        <v>0</v>
      </c>
      <c r="J698" s="69"/>
      <c r="K698" t="s">
        <v>1626</v>
      </c>
    </row>
    <row r="699" spans="1:11" x14ac:dyDescent="0.25">
      <c r="A699" s="5" t="s">
        <v>1463</v>
      </c>
      <c r="B699" t="s">
        <v>996</v>
      </c>
      <c r="C699">
        <v>20000</v>
      </c>
      <c r="D699" t="s">
        <v>999</v>
      </c>
      <c r="E699">
        <v>0</v>
      </c>
      <c r="F699" t="s">
        <v>998</v>
      </c>
      <c r="G699" t="s">
        <v>1626</v>
      </c>
      <c r="H699">
        <v>20000</v>
      </c>
      <c r="I699">
        <v>0</v>
      </c>
      <c r="J699" s="69"/>
      <c r="K699" t="s">
        <v>1626</v>
      </c>
    </row>
    <row r="700" spans="1:11" x14ac:dyDescent="0.25">
      <c r="A700" s="5" t="s">
        <v>1463</v>
      </c>
      <c r="B700" t="s">
        <v>996</v>
      </c>
      <c r="C700">
        <v>50</v>
      </c>
      <c r="D700" t="s">
        <v>997</v>
      </c>
      <c r="E700">
        <v>0</v>
      </c>
      <c r="F700" t="s">
        <v>998</v>
      </c>
      <c r="G700" t="s">
        <v>1704</v>
      </c>
      <c r="H700">
        <v>50</v>
      </c>
      <c r="I700">
        <v>0</v>
      </c>
      <c r="J700" s="69"/>
      <c r="K700" t="s">
        <v>1626</v>
      </c>
    </row>
    <row r="701" spans="1:11" x14ac:dyDescent="0.25">
      <c r="A701" s="5" t="s">
        <v>1463</v>
      </c>
      <c r="B701" t="s">
        <v>996</v>
      </c>
      <c r="C701">
        <v>50</v>
      </c>
      <c r="D701" t="s">
        <v>997</v>
      </c>
      <c r="E701">
        <v>0</v>
      </c>
      <c r="F701" t="s">
        <v>998</v>
      </c>
      <c r="G701" t="s">
        <v>1705</v>
      </c>
      <c r="H701">
        <v>50</v>
      </c>
      <c r="I701">
        <v>0</v>
      </c>
      <c r="J701" s="69"/>
      <c r="K701" t="s">
        <v>1626</v>
      </c>
    </row>
    <row r="702" spans="1:11" x14ac:dyDescent="0.25">
      <c r="A702" s="5" t="s">
        <v>1463</v>
      </c>
      <c r="B702" t="s">
        <v>996</v>
      </c>
      <c r="C702">
        <v>50</v>
      </c>
      <c r="D702" t="s">
        <v>997</v>
      </c>
      <c r="E702">
        <v>0</v>
      </c>
      <c r="F702" t="s">
        <v>998</v>
      </c>
      <c r="G702" t="s">
        <v>1706</v>
      </c>
      <c r="H702">
        <v>50</v>
      </c>
      <c r="I702">
        <v>0</v>
      </c>
      <c r="J702" s="69"/>
      <c r="K702" t="s">
        <v>1626</v>
      </c>
    </row>
    <row r="703" spans="1:11" x14ac:dyDescent="0.25">
      <c r="A703" s="5" t="s">
        <v>1463</v>
      </c>
      <c r="B703" t="s">
        <v>996</v>
      </c>
      <c r="C703">
        <v>50</v>
      </c>
      <c r="D703" t="s">
        <v>997</v>
      </c>
      <c r="E703">
        <v>0</v>
      </c>
      <c r="F703" t="s">
        <v>998</v>
      </c>
      <c r="G703" t="s">
        <v>1707</v>
      </c>
      <c r="H703">
        <v>50</v>
      </c>
      <c r="I703">
        <v>0</v>
      </c>
      <c r="J703" s="69"/>
      <c r="K703" t="s">
        <v>1626</v>
      </c>
    </row>
    <row r="704" spans="1:11" x14ac:dyDescent="0.25">
      <c r="A704" s="5" t="s">
        <v>1463</v>
      </c>
      <c r="B704" t="s">
        <v>1000</v>
      </c>
      <c r="C704">
        <v>20000</v>
      </c>
      <c r="D704" t="s">
        <v>1003</v>
      </c>
      <c r="E704">
        <v>0</v>
      </c>
      <c r="F704" t="s">
        <v>1002</v>
      </c>
      <c r="G704" t="s">
        <v>1626</v>
      </c>
      <c r="H704">
        <v>20000</v>
      </c>
      <c r="I704">
        <v>0</v>
      </c>
      <c r="J704" s="69"/>
      <c r="K704" t="s">
        <v>1626</v>
      </c>
    </row>
    <row r="705" spans="1:11" x14ac:dyDescent="0.25">
      <c r="A705" s="5" t="s">
        <v>1463</v>
      </c>
      <c r="B705" t="s">
        <v>1000</v>
      </c>
      <c r="C705">
        <v>10</v>
      </c>
      <c r="D705" t="s">
        <v>1001</v>
      </c>
      <c r="E705">
        <v>0</v>
      </c>
      <c r="F705" t="s">
        <v>1002</v>
      </c>
      <c r="G705" t="s">
        <v>1704</v>
      </c>
      <c r="H705">
        <v>10</v>
      </c>
      <c r="I705">
        <v>0</v>
      </c>
      <c r="J705" s="69"/>
      <c r="K705" t="s">
        <v>1626</v>
      </c>
    </row>
    <row r="706" spans="1:11" x14ac:dyDescent="0.25">
      <c r="A706" s="5" t="s">
        <v>1463</v>
      </c>
      <c r="B706" t="s">
        <v>1000</v>
      </c>
      <c r="C706">
        <v>10</v>
      </c>
      <c r="D706" t="s">
        <v>1001</v>
      </c>
      <c r="E706">
        <v>0</v>
      </c>
      <c r="F706" t="s">
        <v>1002</v>
      </c>
      <c r="G706" t="s">
        <v>1705</v>
      </c>
      <c r="H706">
        <v>10</v>
      </c>
      <c r="I706">
        <v>0</v>
      </c>
      <c r="J706" s="69"/>
      <c r="K706" t="s">
        <v>1626</v>
      </c>
    </row>
    <row r="707" spans="1:11" x14ac:dyDescent="0.25">
      <c r="A707" s="5" t="s">
        <v>1463</v>
      </c>
      <c r="B707" t="s">
        <v>1000</v>
      </c>
      <c r="C707">
        <v>10</v>
      </c>
      <c r="D707" t="s">
        <v>1001</v>
      </c>
      <c r="E707">
        <v>0</v>
      </c>
      <c r="F707" t="s">
        <v>1002</v>
      </c>
      <c r="G707" t="s">
        <v>1706</v>
      </c>
      <c r="H707">
        <v>10</v>
      </c>
      <c r="I707">
        <v>0</v>
      </c>
      <c r="J707" s="69"/>
      <c r="K707" t="s">
        <v>1626</v>
      </c>
    </row>
    <row r="708" spans="1:11" x14ac:dyDescent="0.25">
      <c r="A708" s="5" t="s">
        <v>1463</v>
      </c>
      <c r="B708" t="s">
        <v>1000</v>
      </c>
      <c r="C708">
        <v>10</v>
      </c>
      <c r="D708" t="s">
        <v>1001</v>
      </c>
      <c r="E708">
        <v>0</v>
      </c>
      <c r="F708" t="s">
        <v>1002</v>
      </c>
      <c r="G708" t="s">
        <v>1707</v>
      </c>
      <c r="H708">
        <v>10</v>
      </c>
      <c r="I708">
        <v>0</v>
      </c>
      <c r="J708" s="69"/>
      <c r="K708" t="s">
        <v>1626</v>
      </c>
    </row>
    <row r="709" spans="1:11" x14ac:dyDescent="0.25">
      <c r="A709" s="5" t="s">
        <v>1463</v>
      </c>
      <c r="B709" t="s">
        <v>1004</v>
      </c>
      <c r="C709">
        <v>0</v>
      </c>
      <c r="D709" t="s">
        <v>1589</v>
      </c>
      <c r="E709">
        <v>0</v>
      </c>
      <c r="F709" t="s">
        <v>1590</v>
      </c>
      <c r="G709">
        <v>4</v>
      </c>
      <c r="H709">
        <v>0</v>
      </c>
      <c r="I709">
        <v>0</v>
      </c>
      <c r="J709" s="69"/>
      <c r="K709" t="s">
        <v>1626</v>
      </c>
    </row>
    <row r="710" spans="1:11" x14ac:dyDescent="0.25">
      <c r="A710" s="5" t="s">
        <v>1463</v>
      </c>
      <c r="B710" t="s">
        <v>1004</v>
      </c>
      <c r="C710">
        <v>0</v>
      </c>
      <c r="D710" t="s">
        <v>1587</v>
      </c>
      <c r="E710">
        <v>0</v>
      </c>
      <c r="F710" t="s">
        <v>1588</v>
      </c>
      <c r="G710">
        <v>130</v>
      </c>
      <c r="H710">
        <v>0</v>
      </c>
      <c r="I710">
        <v>0</v>
      </c>
      <c r="J710" s="69"/>
      <c r="K710" t="s">
        <v>1626</v>
      </c>
    </row>
    <row r="711" spans="1:11" x14ac:dyDescent="0.25">
      <c r="A711" s="5" t="s">
        <v>1463</v>
      </c>
      <c r="B711" t="s">
        <v>1004</v>
      </c>
      <c r="C711">
        <v>0</v>
      </c>
      <c r="D711" t="s">
        <v>1587</v>
      </c>
      <c r="E711">
        <v>0</v>
      </c>
      <c r="F711" t="s">
        <v>1588</v>
      </c>
      <c r="G711">
        <v>48</v>
      </c>
      <c r="H711">
        <v>0</v>
      </c>
      <c r="I711">
        <v>0</v>
      </c>
      <c r="J711" s="69"/>
      <c r="K711" t="s">
        <v>1626</v>
      </c>
    </row>
    <row r="712" spans="1:11" x14ac:dyDescent="0.25">
      <c r="A712" s="5" t="s">
        <v>1463</v>
      </c>
      <c r="B712" t="s">
        <v>1004</v>
      </c>
      <c r="C712">
        <v>0</v>
      </c>
      <c r="D712" t="s">
        <v>1589</v>
      </c>
      <c r="E712">
        <v>0</v>
      </c>
      <c r="F712" t="s">
        <v>1590</v>
      </c>
      <c r="G712">
        <v>66</v>
      </c>
      <c r="H712">
        <v>0</v>
      </c>
      <c r="I712">
        <v>0</v>
      </c>
      <c r="J712" s="69"/>
      <c r="K712" t="s">
        <v>1626</v>
      </c>
    </row>
    <row r="713" spans="1:11" x14ac:dyDescent="0.25">
      <c r="A713" s="5" t="s">
        <v>1463</v>
      </c>
      <c r="B713" t="s">
        <v>1004</v>
      </c>
      <c r="C713">
        <v>0</v>
      </c>
      <c r="D713" t="s">
        <v>1005</v>
      </c>
      <c r="E713">
        <v>0</v>
      </c>
      <c r="F713" t="s">
        <v>1006</v>
      </c>
      <c r="G713">
        <v>426501020</v>
      </c>
      <c r="H713">
        <v>0</v>
      </c>
      <c r="I713">
        <v>0</v>
      </c>
      <c r="J713" s="69"/>
      <c r="K713" t="s">
        <v>1626</v>
      </c>
    </row>
    <row r="714" spans="1:11" x14ac:dyDescent="0.25">
      <c r="A714" s="5" t="s">
        <v>1463</v>
      </c>
      <c r="B714" t="s">
        <v>1004</v>
      </c>
      <c r="C714">
        <v>0</v>
      </c>
      <c r="D714" t="s">
        <v>1904</v>
      </c>
      <c r="E714">
        <v>0</v>
      </c>
      <c r="F714" t="s">
        <v>1905</v>
      </c>
      <c r="G714" t="s">
        <v>1906</v>
      </c>
      <c r="H714">
        <v>0</v>
      </c>
      <c r="I714">
        <v>0</v>
      </c>
      <c r="J714" s="69"/>
      <c r="K714" t="s">
        <v>1626</v>
      </c>
    </row>
    <row r="715" spans="1:11" x14ac:dyDescent="0.25">
      <c r="A715" s="5" t="s">
        <v>1463</v>
      </c>
      <c r="B715" t="s">
        <v>1004</v>
      </c>
      <c r="C715">
        <v>0</v>
      </c>
      <c r="D715" t="s">
        <v>1009</v>
      </c>
      <c r="E715">
        <v>0</v>
      </c>
      <c r="F715" t="s">
        <v>1010</v>
      </c>
      <c r="G715" t="s">
        <v>1787</v>
      </c>
      <c r="H715">
        <v>0</v>
      </c>
      <c r="I715">
        <v>0</v>
      </c>
      <c r="J715" s="69"/>
      <c r="K715" t="s">
        <v>1626</v>
      </c>
    </row>
    <row r="716" spans="1:11" x14ac:dyDescent="0.25">
      <c r="A716" s="5" t="s">
        <v>1463</v>
      </c>
      <c r="B716" t="s">
        <v>1004</v>
      </c>
      <c r="C716">
        <v>0</v>
      </c>
      <c r="D716" t="s">
        <v>1143</v>
      </c>
      <c r="E716">
        <v>0</v>
      </c>
      <c r="F716" t="s">
        <v>180</v>
      </c>
      <c r="G716" t="s">
        <v>1628</v>
      </c>
      <c r="H716">
        <v>0</v>
      </c>
      <c r="I716">
        <v>0</v>
      </c>
      <c r="J716" s="69"/>
      <c r="K716" t="s">
        <v>1626</v>
      </c>
    </row>
    <row r="717" spans="1:11" x14ac:dyDescent="0.25">
      <c r="A717" s="5" t="s">
        <v>1463</v>
      </c>
      <c r="B717" t="s">
        <v>1004</v>
      </c>
      <c r="C717">
        <v>0</v>
      </c>
      <c r="D717" t="s">
        <v>1144</v>
      </c>
      <c r="E717">
        <v>0</v>
      </c>
      <c r="F717" t="s">
        <v>1145</v>
      </c>
      <c r="G717" t="s">
        <v>1628</v>
      </c>
      <c r="H717">
        <v>0</v>
      </c>
      <c r="I717">
        <v>0</v>
      </c>
      <c r="J717" s="69"/>
      <c r="K717" t="s">
        <v>1626</v>
      </c>
    </row>
    <row r="718" spans="1:11" x14ac:dyDescent="0.25">
      <c r="A718" s="5" t="s">
        <v>1463</v>
      </c>
      <c r="B718" t="s">
        <v>1004</v>
      </c>
      <c r="C718">
        <v>0</v>
      </c>
      <c r="D718" t="s">
        <v>1146</v>
      </c>
      <c r="E718">
        <v>0</v>
      </c>
      <c r="F718" t="s">
        <v>1147</v>
      </c>
      <c r="G718" t="s">
        <v>1628</v>
      </c>
      <c r="H718">
        <v>0</v>
      </c>
      <c r="I718">
        <v>0</v>
      </c>
      <c r="J718" s="69"/>
      <c r="K718" t="s">
        <v>1626</v>
      </c>
    </row>
    <row r="719" spans="1:11" x14ac:dyDescent="0.25">
      <c r="A719" s="5" t="s">
        <v>1463</v>
      </c>
      <c r="B719" t="s">
        <v>1004</v>
      </c>
      <c r="C719">
        <v>0</v>
      </c>
      <c r="D719" t="s">
        <v>1011</v>
      </c>
      <c r="E719">
        <v>0</v>
      </c>
      <c r="F719" t="s">
        <v>1012</v>
      </c>
      <c r="G719" t="s">
        <v>1626</v>
      </c>
      <c r="H719">
        <v>0</v>
      </c>
      <c r="I719">
        <v>0</v>
      </c>
      <c r="J719" s="69"/>
      <c r="K719" t="s">
        <v>1626</v>
      </c>
    </row>
    <row r="720" spans="1:11" x14ac:dyDescent="0.25">
      <c r="A720" s="5" t="s">
        <v>1463</v>
      </c>
      <c r="B720" t="s">
        <v>1004</v>
      </c>
      <c r="C720">
        <v>0</v>
      </c>
      <c r="D720" t="s">
        <v>1013</v>
      </c>
      <c r="E720">
        <v>0</v>
      </c>
      <c r="F720" t="s">
        <v>1012</v>
      </c>
      <c r="G720" t="s">
        <v>1626</v>
      </c>
      <c r="H720">
        <v>0</v>
      </c>
      <c r="I720">
        <v>0</v>
      </c>
      <c r="J720" s="69"/>
      <c r="K720" t="s">
        <v>1626</v>
      </c>
    </row>
    <row r="721" spans="1:11" x14ac:dyDescent="0.25">
      <c r="A721" s="5" t="s">
        <v>1463</v>
      </c>
      <c r="B721" t="s">
        <v>1004</v>
      </c>
      <c r="C721">
        <v>0</v>
      </c>
      <c r="D721" t="s">
        <v>1014</v>
      </c>
      <c r="E721">
        <v>0</v>
      </c>
      <c r="F721" t="s">
        <v>1012</v>
      </c>
      <c r="G721" t="s">
        <v>1626</v>
      </c>
      <c r="H721">
        <v>0</v>
      </c>
      <c r="I721">
        <v>0</v>
      </c>
      <c r="J721" s="69"/>
      <c r="K721" t="s">
        <v>1626</v>
      </c>
    </row>
    <row r="722" spans="1:11" x14ac:dyDescent="0.25">
      <c r="A722" s="5" t="s">
        <v>1463</v>
      </c>
      <c r="B722" t="s">
        <v>1004</v>
      </c>
      <c r="C722">
        <v>0</v>
      </c>
      <c r="D722" t="s">
        <v>1015</v>
      </c>
      <c r="E722">
        <v>0</v>
      </c>
      <c r="F722" t="s">
        <v>1012</v>
      </c>
      <c r="G722" t="s">
        <v>1626</v>
      </c>
      <c r="H722">
        <v>0</v>
      </c>
      <c r="I722">
        <v>0</v>
      </c>
      <c r="J722" s="69"/>
      <c r="K722" t="s">
        <v>1626</v>
      </c>
    </row>
    <row r="723" spans="1:11" x14ac:dyDescent="0.25">
      <c r="A723" s="5" t="s">
        <v>1463</v>
      </c>
      <c r="B723" t="s">
        <v>1004</v>
      </c>
      <c r="C723">
        <v>0</v>
      </c>
      <c r="D723" t="s">
        <v>1016</v>
      </c>
      <c r="E723">
        <v>0</v>
      </c>
      <c r="F723" t="s">
        <v>1012</v>
      </c>
      <c r="G723" t="s">
        <v>1626</v>
      </c>
      <c r="H723">
        <v>0</v>
      </c>
      <c r="I723">
        <v>0</v>
      </c>
      <c r="J723" s="69"/>
      <c r="K723" t="s">
        <v>1626</v>
      </c>
    </row>
    <row r="724" spans="1:11" x14ac:dyDescent="0.25">
      <c r="A724" s="5" t="s">
        <v>1463</v>
      </c>
      <c r="B724" t="s">
        <v>1004</v>
      </c>
      <c r="C724">
        <v>0</v>
      </c>
      <c r="D724" t="s">
        <v>1017</v>
      </c>
      <c r="E724">
        <v>0</v>
      </c>
      <c r="F724" t="s">
        <v>1012</v>
      </c>
      <c r="G724" t="s">
        <v>1626</v>
      </c>
      <c r="H724">
        <v>0</v>
      </c>
      <c r="I724">
        <v>0</v>
      </c>
      <c r="J724" s="69"/>
      <c r="K724" t="s">
        <v>1626</v>
      </c>
    </row>
    <row r="725" spans="1:11" x14ac:dyDescent="0.25">
      <c r="A725" s="5" t="s">
        <v>1463</v>
      </c>
      <c r="B725" t="s">
        <v>1004</v>
      </c>
      <c r="C725">
        <v>0</v>
      </c>
      <c r="D725" t="s">
        <v>1018</v>
      </c>
      <c r="E725">
        <v>0</v>
      </c>
      <c r="F725" t="s">
        <v>1019</v>
      </c>
      <c r="G725" t="s">
        <v>1626</v>
      </c>
      <c r="H725">
        <v>0</v>
      </c>
      <c r="I725">
        <v>0</v>
      </c>
      <c r="J725" s="69"/>
      <c r="K725" t="s">
        <v>1626</v>
      </c>
    </row>
    <row r="726" spans="1:11" x14ac:dyDescent="0.25">
      <c r="A726" s="5" t="s">
        <v>1463</v>
      </c>
      <c r="B726" t="s">
        <v>1004</v>
      </c>
      <c r="C726">
        <v>0</v>
      </c>
      <c r="D726" t="s">
        <v>1020</v>
      </c>
      <c r="E726">
        <v>0</v>
      </c>
      <c r="F726" t="s">
        <v>1021</v>
      </c>
      <c r="G726" t="s">
        <v>1626</v>
      </c>
      <c r="H726">
        <v>0</v>
      </c>
      <c r="I726">
        <v>0</v>
      </c>
      <c r="J726" s="69"/>
      <c r="K726" t="s">
        <v>1626</v>
      </c>
    </row>
    <row r="727" spans="1:11" x14ac:dyDescent="0.25">
      <c r="A727" s="5" t="s">
        <v>1463</v>
      </c>
      <c r="B727" t="s">
        <v>1004</v>
      </c>
      <c r="C727">
        <v>0</v>
      </c>
      <c r="D727" t="s">
        <v>1022</v>
      </c>
      <c r="E727">
        <v>0</v>
      </c>
      <c r="F727" t="s">
        <v>1023</v>
      </c>
      <c r="G727" t="s">
        <v>1626</v>
      </c>
      <c r="H727">
        <v>0</v>
      </c>
      <c r="I727">
        <v>0</v>
      </c>
      <c r="J727" s="69"/>
      <c r="K727" t="s">
        <v>1626</v>
      </c>
    </row>
    <row r="728" spans="1:11" x14ac:dyDescent="0.25">
      <c r="A728" s="5" t="s">
        <v>1463</v>
      </c>
      <c r="B728" t="s">
        <v>1004</v>
      </c>
      <c r="C728">
        <v>0</v>
      </c>
      <c r="D728" t="s">
        <v>1024</v>
      </c>
      <c r="E728">
        <v>0</v>
      </c>
      <c r="F728" t="s">
        <v>1025</v>
      </c>
      <c r="G728" t="s">
        <v>1626</v>
      </c>
      <c r="H728">
        <v>0</v>
      </c>
      <c r="I728">
        <v>0</v>
      </c>
      <c r="J728" s="69"/>
      <c r="K728" t="s">
        <v>1626</v>
      </c>
    </row>
    <row r="729" spans="1:11" x14ac:dyDescent="0.25">
      <c r="A729" s="5" t="s">
        <v>1463</v>
      </c>
      <c r="B729" t="s">
        <v>1004</v>
      </c>
      <c r="C729">
        <v>0</v>
      </c>
      <c r="D729" t="s">
        <v>1026</v>
      </c>
      <c r="E729">
        <v>0</v>
      </c>
      <c r="F729" t="s">
        <v>1027</v>
      </c>
      <c r="G729" t="s">
        <v>1626</v>
      </c>
      <c r="H729">
        <v>0</v>
      </c>
      <c r="I729">
        <v>0</v>
      </c>
      <c r="J729" s="69"/>
      <c r="K729" t="s">
        <v>1626</v>
      </c>
    </row>
    <row r="730" spans="1:11" x14ac:dyDescent="0.25">
      <c r="A730" s="5" t="s">
        <v>1463</v>
      </c>
      <c r="B730" t="s">
        <v>1004</v>
      </c>
      <c r="C730">
        <v>0</v>
      </c>
      <c r="D730" t="s">
        <v>1028</v>
      </c>
      <c r="E730">
        <v>0</v>
      </c>
      <c r="F730" t="s">
        <v>1029</v>
      </c>
      <c r="G730" t="s">
        <v>1626</v>
      </c>
      <c r="H730">
        <v>0</v>
      </c>
      <c r="I730">
        <v>0</v>
      </c>
      <c r="J730" s="69"/>
      <c r="K730" t="s">
        <v>1626</v>
      </c>
    </row>
    <row r="731" spans="1:11" x14ac:dyDescent="0.25">
      <c r="A731" s="5" t="s">
        <v>1463</v>
      </c>
      <c r="B731" t="s">
        <v>1004</v>
      </c>
      <c r="C731">
        <v>0</v>
      </c>
      <c r="D731" t="s">
        <v>1030</v>
      </c>
      <c r="E731">
        <v>0</v>
      </c>
      <c r="F731" t="s">
        <v>1031</v>
      </c>
      <c r="G731" t="s">
        <v>1626</v>
      </c>
      <c r="H731">
        <v>0</v>
      </c>
      <c r="I731">
        <v>0</v>
      </c>
      <c r="J731" s="69"/>
      <c r="K731" t="s">
        <v>1626</v>
      </c>
    </row>
    <row r="732" spans="1:11" x14ac:dyDescent="0.25">
      <c r="A732" s="5" t="s">
        <v>1463</v>
      </c>
      <c r="B732" t="s">
        <v>1004</v>
      </c>
      <c r="C732">
        <v>0</v>
      </c>
      <c r="D732" t="s">
        <v>1032</v>
      </c>
      <c r="E732">
        <v>0</v>
      </c>
      <c r="F732" t="s">
        <v>1033</v>
      </c>
      <c r="G732" t="s">
        <v>1626</v>
      </c>
      <c r="H732">
        <v>0</v>
      </c>
      <c r="I732">
        <v>0</v>
      </c>
      <c r="J732" s="69"/>
      <c r="K732" t="s">
        <v>1626</v>
      </c>
    </row>
    <row r="733" spans="1:11" x14ac:dyDescent="0.25">
      <c r="A733" s="5" t="s">
        <v>1463</v>
      </c>
      <c r="B733" t="s">
        <v>1004</v>
      </c>
      <c r="C733">
        <v>0</v>
      </c>
      <c r="D733" t="s">
        <v>1034</v>
      </c>
      <c r="E733">
        <v>0</v>
      </c>
      <c r="F733" t="s">
        <v>1033</v>
      </c>
      <c r="G733" t="s">
        <v>1626</v>
      </c>
      <c r="H733">
        <v>0</v>
      </c>
      <c r="I733">
        <v>0</v>
      </c>
      <c r="J733" s="69"/>
      <c r="K733" t="s">
        <v>1626</v>
      </c>
    </row>
    <row r="734" spans="1:11" x14ac:dyDescent="0.25">
      <c r="A734" s="5" t="s">
        <v>1463</v>
      </c>
      <c r="B734" t="s">
        <v>1004</v>
      </c>
      <c r="C734">
        <v>0</v>
      </c>
      <c r="D734" t="s">
        <v>1035</v>
      </c>
      <c r="E734">
        <v>0</v>
      </c>
      <c r="F734" t="s">
        <v>1033</v>
      </c>
      <c r="G734" t="s">
        <v>1626</v>
      </c>
      <c r="H734">
        <v>0</v>
      </c>
      <c r="I734">
        <v>0</v>
      </c>
      <c r="J734" s="69"/>
      <c r="K734" t="s">
        <v>1626</v>
      </c>
    </row>
    <row r="735" spans="1:11" x14ac:dyDescent="0.25">
      <c r="A735" s="5" t="s">
        <v>1463</v>
      </c>
      <c r="B735" t="s">
        <v>1004</v>
      </c>
      <c r="C735">
        <v>0</v>
      </c>
      <c r="D735" t="s">
        <v>1036</v>
      </c>
      <c r="E735">
        <v>0</v>
      </c>
      <c r="F735" t="s">
        <v>1033</v>
      </c>
      <c r="G735" t="s">
        <v>1626</v>
      </c>
      <c r="H735">
        <v>0</v>
      </c>
      <c r="I735">
        <v>0</v>
      </c>
      <c r="J735" s="69"/>
      <c r="K735" t="s">
        <v>1626</v>
      </c>
    </row>
    <row r="736" spans="1:11" x14ac:dyDescent="0.25">
      <c r="A736" s="5" t="s">
        <v>1463</v>
      </c>
      <c r="B736" t="s">
        <v>1004</v>
      </c>
      <c r="C736">
        <v>0</v>
      </c>
      <c r="D736" t="s">
        <v>1037</v>
      </c>
      <c r="E736">
        <v>0</v>
      </c>
      <c r="F736" t="s">
        <v>1033</v>
      </c>
      <c r="G736" t="s">
        <v>1626</v>
      </c>
      <c r="H736">
        <v>0</v>
      </c>
      <c r="I736">
        <v>0</v>
      </c>
      <c r="J736" s="69"/>
      <c r="K736" t="s">
        <v>1626</v>
      </c>
    </row>
    <row r="737" spans="1:11" x14ac:dyDescent="0.25">
      <c r="A737" s="5" t="s">
        <v>1463</v>
      </c>
      <c r="B737" t="s">
        <v>1004</v>
      </c>
      <c r="C737">
        <v>0</v>
      </c>
      <c r="D737" t="s">
        <v>1038</v>
      </c>
      <c r="E737">
        <v>0</v>
      </c>
      <c r="F737" t="s">
        <v>1033</v>
      </c>
      <c r="G737" t="s">
        <v>1626</v>
      </c>
      <c r="H737">
        <v>0</v>
      </c>
      <c r="I737">
        <v>0</v>
      </c>
      <c r="J737" s="69"/>
      <c r="K737" t="s">
        <v>1626</v>
      </c>
    </row>
    <row r="738" spans="1:11" x14ac:dyDescent="0.25">
      <c r="A738" s="5" t="s">
        <v>1463</v>
      </c>
      <c r="B738" t="s">
        <v>1004</v>
      </c>
      <c r="C738">
        <v>0</v>
      </c>
      <c r="D738" t="s">
        <v>1039</v>
      </c>
      <c r="E738">
        <v>0</v>
      </c>
      <c r="F738" t="s">
        <v>1033</v>
      </c>
      <c r="G738" t="s">
        <v>1626</v>
      </c>
      <c r="H738">
        <v>0</v>
      </c>
      <c r="I738">
        <v>0</v>
      </c>
      <c r="J738" s="69"/>
      <c r="K738" t="s">
        <v>1626</v>
      </c>
    </row>
    <row r="739" spans="1:11" x14ac:dyDescent="0.25">
      <c r="A739" s="5" t="s">
        <v>1463</v>
      </c>
      <c r="B739" t="s">
        <v>1004</v>
      </c>
      <c r="C739">
        <v>0</v>
      </c>
      <c r="D739" t="s">
        <v>1040</v>
      </c>
      <c r="E739">
        <v>0</v>
      </c>
      <c r="F739" t="s">
        <v>1033</v>
      </c>
      <c r="G739" t="s">
        <v>1626</v>
      </c>
      <c r="H739">
        <v>0</v>
      </c>
      <c r="I739">
        <v>0</v>
      </c>
      <c r="J739" s="69"/>
      <c r="K739" t="s">
        <v>1626</v>
      </c>
    </row>
    <row r="740" spans="1:11" x14ac:dyDescent="0.25">
      <c r="A740" s="5" t="s">
        <v>1463</v>
      </c>
      <c r="B740" t="s">
        <v>1004</v>
      </c>
      <c r="C740">
        <v>0</v>
      </c>
      <c r="D740" t="s">
        <v>1041</v>
      </c>
      <c r="E740">
        <v>0</v>
      </c>
      <c r="F740" t="s">
        <v>1033</v>
      </c>
      <c r="G740" t="s">
        <v>1626</v>
      </c>
      <c r="H740">
        <v>0</v>
      </c>
      <c r="I740">
        <v>0</v>
      </c>
      <c r="J740" s="69"/>
      <c r="K740" t="s">
        <v>1626</v>
      </c>
    </row>
    <row r="741" spans="1:11" x14ac:dyDescent="0.25">
      <c r="A741" s="5" t="s">
        <v>1463</v>
      </c>
      <c r="B741" t="s">
        <v>1004</v>
      </c>
      <c r="C741">
        <v>0</v>
      </c>
      <c r="D741" t="s">
        <v>1042</v>
      </c>
      <c r="E741">
        <v>0</v>
      </c>
      <c r="F741" t="s">
        <v>1033</v>
      </c>
      <c r="G741" t="s">
        <v>1626</v>
      </c>
      <c r="H741">
        <v>0</v>
      </c>
      <c r="I741">
        <v>0</v>
      </c>
      <c r="J741" s="69"/>
      <c r="K741" t="s">
        <v>1626</v>
      </c>
    </row>
    <row r="742" spans="1:11" x14ac:dyDescent="0.25">
      <c r="A742" s="5" t="s">
        <v>1463</v>
      </c>
      <c r="B742" t="s">
        <v>1004</v>
      </c>
      <c r="C742">
        <v>0</v>
      </c>
      <c r="D742" t="s">
        <v>1043</v>
      </c>
      <c r="E742">
        <v>0</v>
      </c>
      <c r="F742" t="s">
        <v>1033</v>
      </c>
      <c r="G742" t="s">
        <v>1626</v>
      </c>
      <c r="H742">
        <v>0</v>
      </c>
      <c r="I742">
        <v>0</v>
      </c>
      <c r="J742" s="69"/>
      <c r="K742" t="s">
        <v>1626</v>
      </c>
    </row>
    <row r="743" spans="1:11" x14ac:dyDescent="0.25">
      <c r="A743" s="5" t="s">
        <v>1463</v>
      </c>
      <c r="B743" t="s">
        <v>1004</v>
      </c>
      <c r="C743">
        <v>0</v>
      </c>
      <c r="D743" t="s">
        <v>1044</v>
      </c>
      <c r="E743">
        <v>0</v>
      </c>
      <c r="F743" t="s">
        <v>1033</v>
      </c>
      <c r="G743" t="s">
        <v>1626</v>
      </c>
      <c r="H743">
        <v>0</v>
      </c>
      <c r="I743">
        <v>0</v>
      </c>
      <c r="J743" s="69"/>
      <c r="K743" t="s">
        <v>1626</v>
      </c>
    </row>
    <row r="744" spans="1:11" x14ac:dyDescent="0.25">
      <c r="A744" s="5" t="s">
        <v>1463</v>
      </c>
      <c r="B744" t="s">
        <v>1004</v>
      </c>
      <c r="C744">
        <v>0</v>
      </c>
      <c r="D744" t="s">
        <v>1045</v>
      </c>
      <c r="E744">
        <v>0</v>
      </c>
      <c r="F744" t="s">
        <v>1033</v>
      </c>
      <c r="G744" t="s">
        <v>1626</v>
      </c>
      <c r="H744">
        <v>0</v>
      </c>
      <c r="I744">
        <v>0</v>
      </c>
      <c r="J744" s="69"/>
      <c r="K744" t="s">
        <v>1626</v>
      </c>
    </row>
    <row r="745" spans="1:11" x14ac:dyDescent="0.25">
      <c r="A745" s="5" t="s">
        <v>1463</v>
      </c>
      <c r="B745" t="s">
        <v>1004</v>
      </c>
      <c r="C745">
        <v>0</v>
      </c>
      <c r="D745" t="s">
        <v>1046</v>
      </c>
      <c r="E745">
        <v>0</v>
      </c>
      <c r="F745" t="s">
        <v>1033</v>
      </c>
      <c r="G745" t="s">
        <v>1626</v>
      </c>
      <c r="H745">
        <v>0</v>
      </c>
      <c r="I745">
        <v>0</v>
      </c>
      <c r="J745" s="69"/>
      <c r="K745" t="s">
        <v>1626</v>
      </c>
    </row>
    <row r="746" spans="1:11" x14ac:dyDescent="0.25">
      <c r="A746" s="5" t="s">
        <v>1463</v>
      </c>
      <c r="B746" t="s">
        <v>1004</v>
      </c>
      <c r="C746">
        <v>0</v>
      </c>
      <c r="D746" t="s">
        <v>1047</v>
      </c>
      <c r="E746">
        <v>0</v>
      </c>
      <c r="F746" t="s">
        <v>1033</v>
      </c>
      <c r="G746" t="s">
        <v>1626</v>
      </c>
      <c r="H746">
        <v>0</v>
      </c>
      <c r="I746">
        <v>0</v>
      </c>
      <c r="J746" s="69"/>
      <c r="K746" t="s">
        <v>1626</v>
      </c>
    </row>
    <row r="747" spans="1:11" x14ac:dyDescent="0.25">
      <c r="A747" s="5" t="s">
        <v>1463</v>
      </c>
      <c r="B747" t="s">
        <v>1004</v>
      </c>
      <c r="C747">
        <v>0</v>
      </c>
      <c r="D747" t="s">
        <v>1048</v>
      </c>
      <c r="E747">
        <v>0</v>
      </c>
      <c r="F747" t="s">
        <v>1033</v>
      </c>
      <c r="G747" t="s">
        <v>1626</v>
      </c>
      <c r="H747">
        <v>0</v>
      </c>
      <c r="I747">
        <v>0</v>
      </c>
      <c r="J747" s="69"/>
      <c r="K747" t="s">
        <v>1626</v>
      </c>
    </row>
    <row r="748" spans="1:11" x14ac:dyDescent="0.25">
      <c r="A748" s="5" t="s">
        <v>1463</v>
      </c>
      <c r="B748" t="s">
        <v>1004</v>
      </c>
      <c r="C748">
        <v>0</v>
      </c>
      <c r="D748" t="s">
        <v>1049</v>
      </c>
      <c r="E748">
        <v>0</v>
      </c>
      <c r="F748" t="s">
        <v>1033</v>
      </c>
      <c r="G748" t="s">
        <v>1626</v>
      </c>
      <c r="H748">
        <v>0</v>
      </c>
      <c r="I748">
        <v>0</v>
      </c>
      <c r="J748" s="69"/>
      <c r="K748" t="s">
        <v>1626</v>
      </c>
    </row>
    <row r="749" spans="1:11" x14ac:dyDescent="0.25">
      <c r="A749" s="5" t="s">
        <v>1463</v>
      </c>
      <c r="B749" t="s">
        <v>1004</v>
      </c>
      <c r="C749">
        <v>0</v>
      </c>
      <c r="D749" t="s">
        <v>1050</v>
      </c>
      <c r="E749">
        <v>0</v>
      </c>
      <c r="F749" t="s">
        <v>1033</v>
      </c>
      <c r="G749" t="s">
        <v>1626</v>
      </c>
      <c r="H749">
        <v>0</v>
      </c>
      <c r="I749">
        <v>0</v>
      </c>
      <c r="J749" s="69"/>
      <c r="K749" t="s">
        <v>1626</v>
      </c>
    </row>
    <row r="750" spans="1:11" x14ac:dyDescent="0.25">
      <c r="A750" s="5" t="s">
        <v>1463</v>
      </c>
      <c r="B750" t="s">
        <v>1004</v>
      </c>
      <c r="C750">
        <v>0</v>
      </c>
      <c r="D750" t="s">
        <v>1051</v>
      </c>
      <c r="E750">
        <v>0</v>
      </c>
      <c r="F750" t="s">
        <v>1033</v>
      </c>
      <c r="G750" t="s">
        <v>1626</v>
      </c>
      <c r="H750">
        <v>0</v>
      </c>
      <c r="I750">
        <v>0</v>
      </c>
      <c r="J750" s="69"/>
      <c r="K750" t="s">
        <v>1626</v>
      </c>
    </row>
    <row r="751" spans="1:11" x14ac:dyDescent="0.25">
      <c r="A751" s="5" t="s">
        <v>1463</v>
      </c>
      <c r="B751" t="s">
        <v>1004</v>
      </c>
      <c r="C751">
        <v>0</v>
      </c>
      <c r="D751" t="s">
        <v>1052</v>
      </c>
      <c r="E751">
        <v>0</v>
      </c>
      <c r="F751" t="s">
        <v>1033</v>
      </c>
      <c r="G751" t="s">
        <v>1626</v>
      </c>
      <c r="H751">
        <v>0</v>
      </c>
      <c r="I751">
        <v>0</v>
      </c>
      <c r="J751" s="69"/>
      <c r="K751" t="s">
        <v>1626</v>
      </c>
    </row>
    <row r="752" spans="1:11" x14ac:dyDescent="0.25">
      <c r="A752" s="5" t="s">
        <v>1463</v>
      </c>
      <c r="B752" t="s">
        <v>1004</v>
      </c>
      <c r="C752">
        <v>0</v>
      </c>
      <c r="D752" t="s">
        <v>1053</v>
      </c>
      <c r="E752">
        <v>0</v>
      </c>
      <c r="F752" t="s">
        <v>1033</v>
      </c>
      <c r="G752" t="s">
        <v>1626</v>
      </c>
      <c r="H752">
        <v>0</v>
      </c>
      <c r="I752">
        <v>0</v>
      </c>
      <c r="J752" s="69"/>
      <c r="K752" t="s">
        <v>1626</v>
      </c>
    </row>
    <row r="753" spans="1:11" x14ac:dyDescent="0.25">
      <c r="A753" s="5" t="s">
        <v>1463</v>
      </c>
      <c r="B753" t="s">
        <v>1004</v>
      </c>
      <c r="C753">
        <v>0</v>
      </c>
      <c r="D753" t="s">
        <v>1054</v>
      </c>
      <c r="E753">
        <v>0</v>
      </c>
      <c r="F753" t="s">
        <v>1033</v>
      </c>
      <c r="G753" t="s">
        <v>1626</v>
      </c>
      <c r="H753">
        <v>0</v>
      </c>
      <c r="I753">
        <v>0</v>
      </c>
      <c r="J753" s="69"/>
      <c r="K753" t="s">
        <v>1626</v>
      </c>
    </row>
    <row r="754" spans="1:11" x14ac:dyDescent="0.25">
      <c r="A754" s="5" t="s">
        <v>1463</v>
      </c>
      <c r="B754" t="s">
        <v>1004</v>
      </c>
      <c r="C754">
        <v>0</v>
      </c>
      <c r="D754" t="s">
        <v>1055</v>
      </c>
      <c r="E754">
        <v>0</v>
      </c>
      <c r="F754" t="s">
        <v>1033</v>
      </c>
      <c r="G754" t="s">
        <v>1626</v>
      </c>
      <c r="H754">
        <v>0</v>
      </c>
      <c r="I754">
        <v>0</v>
      </c>
      <c r="J754" s="69"/>
      <c r="K754" t="s">
        <v>1626</v>
      </c>
    </row>
    <row r="755" spans="1:11" x14ac:dyDescent="0.25">
      <c r="A755" s="5" t="s">
        <v>1463</v>
      </c>
      <c r="B755" t="s">
        <v>1004</v>
      </c>
      <c r="C755">
        <v>0</v>
      </c>
      <c r="D755" t="s">
        <v>1056</v>
      </c>
      <c r="E755">
        <v>0</v>
      </c>
      <c r="F755" t="s">
        <v>1033</v>
      </c>
      <c r="G755" t="s">
        <v>1626</v>
      </c>
      <c r="H755">
        <v>0</v>
      </c>
      <c r="I755">
        <v>0</v>
      </c>
      <c r="J755" s="69"/>
      <c r="K755" t="s">
        <v>1626</v>
      </c>
    </row>
    <row r="756" spans="1:11" x14ac:dyDescent="0.25">
      <c r="A756" s="5" t="s">
        <v>1463</v>
      </c>
      <c r="B756" t="s">
        <v>1004</v>
      </c>
      <c r="C756">
        <v>0</v>
      </c>
      <c r="D756" t="s">
        <v>1057</v>
      </c>
      <c r="E756">
        <v>0</v>
      </c>
      <c r="F756" t="s">
        <v>1033</v>
      </c>
      <c r="G756" t="s">
        <v>1626</v>
      </c>
      <c r="H756">
        <v>0</v>
      </c>
      <c r="I756">
        <v>0</v>
      </c>
      <c r="J756" s="69"/>
      <c r="K756" t="s">
        <v>1626</v>
      </c>
    </row>
    <row r="757" spans="1:11" x14ac:dyDescent="0.25">
      <c r="A757" s="5" t="s">
        <v>1463</v>
      </c>
      <c r="B757" t="s">
        <v>1004</v>
      </c>
      <c r="C757">
        <v>0</v>
      </c>
      <c r="D757" t="s">
        <v>1058</v>
      </c>
      <c r="E757">
        <v>0</v>
      </c>
      <c r="F757" t="s">
        <v>1033</v>
      </c>
      <c r="G757" t="s">
        <v>1626</v>
      </c>
      <c r="H757">
        <v>0</v>
      </c>
      <c r="I757">
        <v>0</v>
      </c>
      <c r="J757" s="69"/>
      <c r="K757" t="s">
        <v>1626</v>
      </c>
    </row>
    <row r="758" spans="1:11" x14ac:dyDescent="0.25">
      <c r="A758" s="5" t="s">
        <v>1463</v>
      </c>
      <c r="B758" t="s">
        <v>1004</v>
      </c>
      <c r="C758">
        <v>0</v>
      </c>
      <c r="D758" t="s">
        <v>1059</v>
      </c>
      <c r="E758">
        <v>0</v>
      </c>
      <c r="F758" t="s">
        <v>1060</v>
      </c>
      <c r="G758" t="s">
        <v>1626</v>
      </c>
      <c r="H758">
        <v>0</v>
      </c>
      <c r="I758">
        <v>0</v>
      </c>
      <c r="J758" s="69"/>
      <c r="K758" t="s">
        <v>1626</v>
      </c>
    </row>
    <row r="759" spans="1:11" x14ac:dyDescent="0.25">
      <c r="A759" s="5" t="s">
        <v>1463</v>
      </c>
      <c r="B759" t="s">
        <v>1004</v>
      </c>
      <c r="C759">
        <v>0</v>
      </c>
      <c r="D759" t="s">
        <v>1061</v>
      </c>
      <c r="E759">
        <v>0</v>
      </c>
      <c r="F759" t="s">
        <v>1062</v>
      </c>
      <c r="G759" t="s">
        <v>1626</v>
      </c>
      <c r="H759">
        <v>0</v>
      </c>
      <c r="I759">
        <v>0</v>
      </c>
      <c r="J759" s="69"/>
      <c r="K759" t="s">
        <v>1626</v>
      </c>
    </row>
    <row r="760" spans="1:11" x14ac:dyDescent="0.25">
      <c r="A760" s="5" t="s">
        <v>1463</v>
      </c>
      <c r="B760" t="s">
        <v>1004</v>
      </c>
      <c r="C760">
        <v>0</v>
      </c>
      <c r="D760" t="s">
        <v>1063</v>
      </c>
      <c r="E760">
        <v>0</v>
      </c>
      <c r="F760" t="s">
        <v>1062</v>
      </c>
      <c r="G760" t="s">
        <v>1626</v>
      </c>
      <c r="H760">
        <v>0</v>
      </c>
      <c r="I760">
        <v>0</v>
      </c>
      <c r="J760" s="69"/>
      <c r="K760" t="s">
        <v>1626</v>
      </c>
    </row>
    <row r="761" spans="1:11" x14ac:dyDescent="0.25">
      <c r="A761" s="5" t="s">
        <v>1463</v>
      </c>
      <c r="B761" t="s">
        <v>1004</v>
      </c>
      <c r="C761">
        <v>0</v>
      </c>
      <c r="D761" t="s">
        <v>1064</v>
      </c>
      <c r="E761">
        <v>0</v>
      </c>
      <c r="F761" t="s">
        <v>1062</v>
      </c>
      <c r="G761" t="s">
        <v>1626</v>
      </c>
      <c r="H761">
        <v>0</v>
      </c>
      <c r="I761">
        <v>0</v>
      </c>
      <c r="J761" s="69"/>
      <c r="K761" t="s">
        <v>1626</v>
      </c>
    </row>
    <row r="762" spans="1:11" x14ac:dyDescent="0.25">
      <c r="A762" s="5" t="s">
        <v>1463</v>
      </c>
      <c r="B762" t="s">
        <v>1004</v>
      </c>
      <c r="C762">
        <v>0</v>
      </c>
      <c r="D762" t="s">
        <v>1065</v>
      </c>
      <c r="E762">
        <v>0</v>
      </c>
      <c r="F762" t="s">
        <v>1062</v>
      </c>
      <c r="G762" t="s">
        <v>1626</v>
      </c>
      <c r="H762">
        <v>0</v>
      </c>
      <c r="I762">
        <v>0</v>
      </c>
      <c r="J762" s="69"/>
      <c r="K762" t="s">
        <v>1626</v>
      </c>
    </row>
    <row r="763" spans="1:11" x14ac:dyDescent="0.25">
      <c r="A763" s="5" t="s">
        <v>1463</v>
      </c>
      <c r="B763" t="s">
        <v>1004</v>
      </c>
      <c r="C763">
        <v>0</v>
      </c>
      <c r="D763" t="s">
        <v>1066</v>
      </c>
      <c r="E763">
        <v>0</v>
      </c>
      <c r="F763" t="s">
        <v>1067</v>
      </c>
      <c r="G763" t="s">
        <v>1626</v>
      </c>
      <c r="H763">
        <v>0</v>
      </c>
      <c r="I763">
        <v>0</v>
      </c>
      <c r="J763" s="69"/>
      <c r="K763" t="s">
        <v>1626</v>
      </c>
    </row>
    <row r="764" spans="1:11" x14ac:dyDescent="0.25">
      <c r="A764" s="5" t="s">
        <v>1463</v>
      </c>
      <c r="B764" t="s">
        <v>1004</v>
      </c>
      <c r="C764">
        <v>0</v>
      </c>
      <c r="D764" t="s">
        <v>1068</v>
      </c>
      <c r="E764">
        <v>0</v>
      </c>
      <c r="F764" t="s">
        <v>1069</v>
      </c>
      <c r="G764" t="s">
        <v>1626</v>
      </c>
      <c r="H764">
        <v>0</v>
      </c>
      <c r="I764">
        <v>0</v>
      </c>
      <c r="J764" s="69"/>
      <c r="K764" t="s">
        <v>1626</v>
      </c>
    </row>
    <row r="765" spans="1:11" x14ac:dyDescent="0.25">
      <c r="A765" s="5" t="s">
        <v>1463</v>
      </c>
      <c r="B765" t="s">
        <v>1004</v>
      </c>
      <c r="C765">
        <v>0</v>
      </c>
      <c r="D765" t="s">
        <v>1070</v>
      </c>
      <c r="E765">
        <v>0</v>
      </c>
      <c r="F765" t="s">
        <v>1069</v>
      </c>
      <c r="G765" t="s">
        <v>1626</v>
      </c>
      <c r="H765">
        <v>0</v>
      </c>
      <c r="I765">
        <v>0</v>
      </c>
      <c r="J765" s="69"/>
      <c r="K765" t="s">
        <v>1626</v>
      </c>
    </row>
    <row r="766" spans="1:11" x14ac:dyDescent="0.25">
      <c r="A766" s="5" t="s">
        <v>1463</v>
      </c>
      <c r="B766" t="s">
        <v>1004</v>
      </c>
      <c r="C766">
        <v>0</v>
      </c>
      <c r="D766" t="s">
        <v>1071</v>
      </c>
      <c r="E766">
        <v>0</v>
      </c>
      <c r="F766" t="s">
        <v>1069</v>
      </c>
      <c r="G766" t="s">
        <v>1626</v>
      </c>
      <c r="H766">
        <v>0</v>
      </c>
      <c r="I766">
        <v>0</v>
      </c>
      <c r="J766" s="69"/>
      <c r="K766" t="s">
        <v>1626</v>
      </c>
    </row>
    <row r="767" spans="1:11" x14ac:dyDescent="0.25">
      <c r="A767" s="5" t="s">
        <v>1463</v>
      </c>
      <c r="B767" t="s">
        <v>1004</v>
      </c>
      <c r="C767">
        <v>0</v>
      </c>
      <c r="D767" t="s">
        <v>1072</v>
      </c>
      <c r="E767">
        <v>0</v>
      </c>
      <c r="F767" t="s">
        <v>1069</v>
      </c>
      <c r="G767" t="s">
        <v>1626</v>
      </c>
      <c r="H767">
        <v>0</v>
      </c>
      <c r="I767">
        <v>0</v>
      </c>
      <c r="J767" s="69"/>
      <c r="K767" t="s">
        <v>1626</v>
      </c>
    </row>
    <row r="768" spans="1:11" x14ac:dyDescent="0.25">
      <c r="A768" s="5" t="s">
        <v>1463</v>
      </c>
      <c r="B768" t="s">
        <v>1004</v>
      </c>
      <c r="C768">
        <v>0</v>
      </c>
      <c r="D768" t="s">
        <v>1073</v>
      </c>
      <c r="E768">
        <v>0</v>
      </c>
      <c r="F768" t="s">
        <v>1074</v>
      </c>
      <c r="G768" t="s">
        <v>1626</v>
      </c>
      <c r="H768">
        <v>0</v>
      </c>
      <c r="I768">
        <v>0</v>
      </c>
      <c r="J768" s="69"/>
      <c r="K768" t="s">
        <v>1626</v>
      </c>
    </row>
    <row r="769" spans="1:11" x14ac:dyDescent="0.25">
      <c r="A769" s="5" t="s">
        <v>1463</v>
      </c>
      <c r="B769" t="s">
        <v>1004</v>
      </c>
      <c r="C769">
        <v>0</v>
      </c>
      <c r="D769" t="s">
        <v>1075</v>
      </c>
      <c r="E769">
        <v>0</v>
      </c>
      <c r="F769" t="s">
        <v>1076</v>
      </c>
      <c r="G769" t="s">
        <v>1626</v>
      </c>
      <c r="H769">
        <v>0</v>
      </c>
      <c r="I769">
        <v>0</v>
      </c>
      <c r="J769" s="69"/>
      <c r="K769" t="s">
        <v>1626</v>
      </c>
    </row>
    <row r="770" spans="1:11" x14ac:dyDescent="0.25">
      <c r="A770" s="5" t="s">
        <v>1463</v>
      </c>
      <c r="B770" t="s">
        <v>1004</v>
      </c>
      <c r="C770">
        <v>0</v>
      </c>
      <c r="D770" t="s">
        <v>1077</v>
      </c>
      <c r="E770">
        <v>0</v>
      </c>
      <c r="F770" t="s">
        <v>1078</v>
      </c>
      <c r="G770" t="s">
        <v>1626</v>
      </c>
      <c r="H770">
        <v>0</v>
      </c>
      <c r="I770">
        <v>0</v>
      </c>
      <c r="J770" s="69"/>
      <c r="K770" t="s">
        <v>1626</v>
      </c>
    </row>
    <row r="771" spans="1:11" x14ac:dyDescent="0.25">
      <c r="A771" s="5" t="s">
        <v>1463</v>
      </c>
      <c r="B771" t="s">
        <v>1004</v>
      </c>
      <c r="C771">
        <v>0</v>
      </c>
      <c r="D771" t="s">
        <v>1079</v>
      </c>
      <c r="E771">
        <v>0</v>
      </c>
      <c r="F771" t="s">
        <v>1080</v>
      </c>
      <c r="G771" t="s">
        <v>1626</v>
      </c>
      <c r="H771">
        <v>0</v>
      </c>
      <c r="I771">
        <v>0</v>
      </c>
      <c r="J771" s="69"/>
      <c r="K771" t="s">
        <v>1626</v>
      </c>
    </row>
    <row r="772" spans="1:11" x14ac:dyDescent="0.25">
      <c r="A772" s="5" t="s">
        <v>1463</v>
      </c>
      <c r="B772" t="s">
        <v>1004</v>
      </c>
      <c r="C772">
        <v>0</v>
      </c>
      <c r="D772" t="s">
        <v>1081</v>
      </c>
      <c r="E772">
        <v>0</v>
      </c>
      <c r="F772" t="s">
        <v>1082</v>
      </c>
      <c r="G772" t="s">
        <v>1626</v>
      </c>
      <c r="H772">
        <v>0</v>
      </c>
      <c r="I772">
        <v>0</v>
      </c>
      <c r="J772" s="69"/>
      <c r="K772" t="s">
        <v>1626</v>
      </c>
    </row>
    <row r="773" spans="1:11" x14ac:dyDescent="0.25">
      <c r="A773" s="5" t="s">
        <v>1463</v>
      </c>
      <c r="B773" t="s">
        <v>1004</v>
      </c>
      <c r="C773">
        <v>0</v>
      </c>
      <c r="D773" t="s">
        <v>1083</v>
      </c>
      <c r="E773">
        <v>0</v>
      </c>
      <c r="F773" t="s">
        <v>1084</v>
      </c>
      <c r="G773" t="s">
        <v>1626</v>
      </c>
      <c r="H773">
        <v>0</v>
      </c>
      <c r="I773">
        <v>0</v>
      </c>
      <c r="J773" s="69"/>
      <c r="K773" t="s">
        <v>1626</v>
      </c>
    </row>
    <row r="774" spans="1:11" x14ac:dyDescent="0.25">
      <c r="A774" s="5" t="s">
        <v>1463</v>
      </c>
      <c r="B774" t="s">
        <v>1004</v>
      </c>
      <c r="C774">
        <v>0</v>
      </c>
      <c r="D774" t="s">
        <v>1085</v>
      </c>
      <c r="E774">
        <v>0</v>
      </c>
      <c r="F774" t="s">
        <v>1086</v>
      </c>
      <c r="G774" t="s">
        <v>1626</v>
      </c>
      <c r="H774">
        <v>0</v>
      </c>
      <c r="I774">
        <v>0</v>
      </c>
      <c r="J774" s="69"/>
      <c r="K774" t="s">
        <v>1626</v>
      </c>
    </row>
    <row r="775" spans="1:11" x14ac:dyDescent="0.25">
      <c r="A775" s="5" t="s">
        <v>1463</v>
      </c>
      <c r="B775" t="s">
        <v>1004</v>
      </c>
      <c r="C775">
        <v>0</v>
      </c>
      <c r="D775" t="s">
        <v>1087</v>
      </c>
      <c r="E775">
        <v>0</v>
      </c>
      <c r="F775" t="s">
        <v>1088</v>
      </c>
      <c r="G775" t="s">
        <v>1626</v>
      </c>
      <c r="H775">
        <v>0</v>
      </c>
      <c r="I775">
        <v>0</v>
      </c>
      <c r="J775" s="69"/>
      <c r="K775" t="s">
        <v>1626</v>
      </c>
    </row>
    <row r="776" spans="1:11" x14ac:dyDescent="0.25">
      <c r="A776" s="5" t="s">
        <v>1463</v>
      </c>
      <c r="B776" t="s">
        <v>1004</v>
      </c>
      <c r="C776">
        <v>0</v>
      </c>
      <c r="D776" t="s">
        <v>1089</v>
      </c>
      <c r="E776">
        <v>0</v>
      </c>
      <c r="F776" t="s">
        <v>1090</v>
      </c>
      <c r="G776" t="s">
        <v>1626</v>
      </c>
      <c r="H776">
        <v>0</v>
      </c>
      <c r="I776">
        <v>0</v>
      </c>
      <c r="J776" s="69"/>
      <c r="K776" t="s">
        <v>1626</v>
      </c>
    </row>
    <row r="777" spans="1:11" x14ac:dyDescent="0.25">
      <c r="A777" s="5" t="s">
        <v>1463</v>
      </c>
      <c r="B777" t="s">
        <v>1004</v>
      </c>
      <c r="C777">
        <v>0</v>
      </c>
      <c r="D777" t="s">
        <v>1091</v>
      </c>
      <c r="E777">
        <v>0</v>
      </c>
      <c r="F777" t="s">
        <v>1092</v>
      </c>
      <c r="G777" t="s">
        <v>1626</v>
      </c>
      <c r="H777">
        <v>0</v>
      </c>
      <c r="I777">
        <v>0</v>
      </c>
      <c r="J777" s="69"/>
      <c r="K777" t="s">
        <v>1626</v>
      </c>
    </row>
    <row r="778" spans="1:11" x14ac:dyDescent="0.25">
      <c r="A778" s="5" t="s">
        <v>1463</v>
      </c>
      <c r="B778" t="s">
        <v>1004</v>
      </c>
      <c r="C778">
        <v>0</v>
      </c>
      <c r="D778" t="s">
        <v>1093</v>
      </c>
      <c r="E778">
        <v>0</v>
      </c>
      <c r="F778" t="s">
        <v>1094</v>
      </c>
      <c r="G778" t="s">
        <v>1626</v>
      </c>
      <c r="H778">
        <v>0</v>
      </c>
      <c r="I778">
        <v>0</v>
      </c>
      <c r="J778" s="69"/>
      <c r="K778" t="s">
        <v>1626</v>
      </c>
    </row>
    <row r="779" spans="1:11" x14ac:dyDescent="0.25">
      <c r="A779" s="5" t="s">
        <v>1463</v>
      </c>
      <c r="B779" t="s">
        <v>1004</v>
      </c>
      <c r="C779">
        <v>0</v>
      </c>
      <c r="D779" t="s">
        <v>1095</v>
      </c>
      <c r="E779">
        <v>0</v>
      </c>
      <c r="F779" t="s">
        <v>1096</v>
      </c>
      <c r="G779" t="s">
        <v>1626</v>
      </c>
      <c r="H779">
        <v>0</v>
      </c>
      <c r="I779">
        <v>0</v>
      </c>
      <c r="J779" s="69"/>
      <c r="K779" t="s">
        <v>1626</v>
      </c>
    </row>
    <row r="780" spans="1:11" x14ac:dyDescent="0.25">
      <c r="A780" s="5" t="s">
        <v>1463</v>
      </c>
      <c r="B780" t="s">
        <v>1004</v>
      </c>
      <c r="C780">
        <v>0</v>
      </c>
      <c r="D780" t="s">
        <v>1097</v>
      </c>
      <c r="E780">
        <v>0</v>
      </c>
      <c r="F780" t="s">
        <v>1098</v>
      </c>
      <c r="G780" t="s">
        <v>1626</v>
      </c>
      <c r="H780">
        <v>0</v>
      </c>
      <c r="I780">
        <v>0</v>
      </c>
      <c r="J780" s="69"/>
      <c r="K780" t="s">
        <v>1626</v>
      </c>
    </row>
    <row r="781" spans="1:11" x14ac:dyDescent="0.25">
      <c r="A781" s="5" t="s">
        <v>1463</v>
      </c>
      <c r="B781" t="s">
        <v>1004</v>
      </c>
      <c r="C781">
        <v>0</v>
      </c>
      <c r="D781" t="s">
        <v>1099</v>
      </c>
      <c r="E781">
        <v>0</v>
      </c>
      <c r="F781" t="s">
        <v>1100</v>
      </c>
      <c r="G781" t="s">
        <v>1626</v>
      </c>
      <c r="H781">
        <v>0</v>
      </c>
      <c r="I781">
        <v>0</v>
      </c>
      <c r="J781" s="69"/>
      <c r="K781" t="s">
        <v>1626</v>
      </c>
    </row>
    <row r="782" spans="1:11" x14ac:dyDescent="0.25">
      <c r="A782" s="5" t="s">
        <v>1463</v>
      </c>
      <c r="B782" t="s">
        <v>1004</v>
      </c>
      <c r="C782">
        <v>0</v>
      </c>
      <c r="D782" t="s">
        <v>1907</v>
      </c>
      <c r="E782">
        <v>0</v>
      </c>
      <c r="F782" t="s">
        <v>1908</v>
      </c>
      <c r="G782" t="s">
        <v>1626</v>
      </c>
      <c r="H782">
        <v>0</v>
      </c>
      <c r="I782">
        <v>0</v>
      </c>
      <c r="J782" s="69"/>
      <c r="K782" t="s">
        <v>1626</v>
      </c>
    </row>
    <row r="783" spans="1:11" x14ac:dyDescent="0.25">
      <c r="A783" s="5" t="s">
        <v>1463</v>
      </c>
      <c r="B783" t="s">
        <v>1004</v>
      </c>
      <c r="C783">
        <v>0</v>
      </c>
      <c r="D783" t="s">
        <v>1101</v>
      </c>
      <c r="E783">
        <v>0</v>
      </c>
      <c r="F783" t="s">
        <v>1102</v>
      </c>
      <c r="G783" t="s">
        <v>1654</v>
      </c>
      <c r="H783">
        <v>0</v>
      </c>
      <c r="I783">
        <v>0</v>
      </c>
      <c r="J783" s="69"/>
      <c r="K783" t="s">
        <v>1626</v>
      </c>
    </row>
    <row r="784" spans="1:11" x14ac:dyDescent="0.25">
      <c r="A784" s="5" t="s">
        <v>1463</v>
      </c>
      <c r="B784" t="s">
        <v>1004</v>
      </c>
      <c r="C784">
        <v>0</v>
      </c>
      <c r="D784" t="s">
        <v>1105</v>
      </c>
      <c r="E784">
        <v>0</v>
      </c>
      <c r="F784" t="s">
        <v>1106</v>
      </c>
      <c r="G784" t="s">
        <v>1654</v>
      </c>
      <c r="H784">
        <v>0</v>
      </c>
      <c r="I784">
        <v>0</v>
      </c>
      <c r="J784" s="69"/>
      <c r="K784" t="s">
        <v>1626</v>
      </c>
    </row>
    <row r="785" spans="1:11" x14ac:dyDescent="0.25">
      <c r="A785" s="5" t="s">
        <v>1463</v>
      </c>
      <c r="B785" t="s">
        <v>1004</v>
      </c>
      <c r="C785">
        <v>0</v>
      </c>
      <c r="D785" t="s">
        <v>1107</v>
      </c>
      <c r="E785">
        <v>0</v>
      </c>
      <c r="F785" t="s">
        <v>1108</v>
      </c>
      <c r="G785" t="s">
        <v>1654</v>
      </c>
      <c r="H785">
        <v>0</v>
      </c>
      <c r="I785">
        <v>0</v>
      </c>
      <c r="J785" s="69"/>
      <c r="K785" t="s">
        <v>1626</v>
      </c>
    </row>
    <row r="786" spans="1:11" x14ac:dyDescent="0.25">
      <c r="A786" s="5" t="s">
        <v>1463</v>
      </c>
      <c r="B786" t="s">
        <v>1004</v>
      </c>
      <c r="C786">
        <v>0</v>
      </c>
      <c r="D786" t="s">
        <v>1788</v>
      </c>
      <c r="E786">
        <v>0</v>
      </c>
      <c r="F786" t="s">
        <v>1789</v>
      </c>
      <c r="G786" t="s">
        <v>1654</v>
      </c>
      <c r="H786">
        <v>0</v>
      </c>
      <c r="I786">
        <v>0</v>
      </c>
      <c r="J786" s="69"/>
      <c r="K786" t="s">
        <v>1626</v>
      </c>
    </row>
    <row r="787" spans="1:11" x14ac:dyDescent="0.25">
      <c r="A787" s="5" t="s">
        <v>1463</v>
      </c>
      <c r="B787" t="s">
        <v>1004</v>
      </c>
      <c r="C787">
        <v>0</v>
      </c>
      <c r="D787" t="s">
        <v>1109</v>
      </c>
      <c r="E787">
        <v>0</v>
      </c>
      <c r="F787" t="s">
        <v>1110</v>
      </c>
      <c r="G787" t="s">
        <v>1654</v>
      </c>
      <c r="H787">
        <v>0</v>
      </c>
      <c r="I787">
        <v>0</v>
      </c>
      <c r="J787" s="69"/>
      <c r="K787" t="s">
        <v>1626</v>
      </c>
    </row>
    <row r="788" spans="1:11" x14ac:dyDescent="0.25">
      <c r="A788" s="5" t="s">
        <v>1463</v>
      </c>
      <c r="B788" t="s">
        <v>1004</v>
      </c>
      <c r="C788">
        <v>0</v>
      </c>
      <c r="D788" t="s">
        <v>1111</v>
      </c>
      <c r="E788">
        <v>0</v>
      </c>
      <c r="F788" t="s">
        <v>1112</v>
      </c>
      <c r="G788" t="s">
        <v>1654</v>
      </c>
      <c r="H788">
        <v>0</v>
      </c>
      <c r="I788">
        <v>0</v>
      </c>
      <c r="J788" s="69"/>
      <c r="K788" t="s">
        <v>1626</v>
      </c>
    </row>
    <row r="789" spans="1:11" x14ac:dyDescent="0.25">
      <c r="A789" s="5" t="s">
        <v>1463</v>
      </c>
      <c r="B789" t="s">
        <v>1004</v>
      </c>
      <c r="C789">
        <v>0</v>
      </c>
      <c r="D789" t="s">
        <v>1113</v>
      </c>
      <c r="E789">
        <v>0</v>
      </c>
      <c r="F789" t="s">
        <v>1114</v>
      </c>
      <c r="G789" t="s">
        <v>1654</v>
      </c>
      <c r="H789">
        <v>0</v>
      </c>
      <c r="I789">
        <v>0</v>
      </c>
      <c r="J789" s="69"/>
      <c r="K789" t="s">
        <v>1626</v>
      </c>
    </row>
    <row r="790" spans="1:11" x14ac:dyDescent="0.25">
      <c r="A790" s="5" t="s">
        <v>1463</v>
      </c>
      <c r="B790" t="s">
        <v>1004</v>
      </c>
      <c r="C790">
        <v>0</v>
      </c>
      <c r="D790" t="s">
        <v>1115</v>
      </c>
      <c r="E790">
        <v>0</v>
      </c>
      <c r="F790" t="s">
        <v>1116</v>
      </c>
      <c r="G790" t="s">
        <v>1654</v>
      </c>
      <c r="H790">
        <v>0</v>
      </c>
      <c r="I790">
        <v>0</v>
      </c>
      <c r="J790" s="69"/>
      <c r="K790" t="s">
        <v>1626</v>
      </c>
    </row>
    <row r="791" spans="1:11" x14ac:dyDescent="0.25">
      <c r="A791" s="5" t="s">
        <v>1463</v>
      </c>
      <c r="B791" t="s">
        <v>1004</v>
      </c>
      <c r="C791">
        <v>0</v>
      </c>
      <c r="D791" t="s">
        <v>1117</v>
      </c>
      <c r="E791">
        <v>0</v>
      </c>
      <c r="F791" t="s">
        <v>1118</v>
      </c>
      <c r="G791" t="s">
        <v>1654</v>
      </c>
      <c r="H791">
        <v>0</v>
      </c>
      <c r="I791">
        <v>0</v>
      </c>
      <c r="J791" s="69"/>
      <c r="K791" t="s">
        <v>1626</v>
      </c>
    </row>
    <row r="792" spans="1:11" x14ac:dyDescent="0.25">
      <c r="A792" s="5" t="s">
        <v>1463</v>
      </c>
      <c r="B792" t="s">
        <v>1004</v>
      </c>
      <c r="C792">
        <v>0</v>
      </c>
      <c r="D792" t="s">
        <v>1121</v>
      </c>
      <c r="E792">
        <v>0</v>
      </c>
      <c r="F792" t="s">
        <v>1122</v>
      </c>
      <c r="G792" t="s">
        <v>1654</v>
      </c>
      <c r="H792">
        <v>0</v>
      </c>
      <c r="I792">
        <v>0</v>
      </c>
      <c r="J792" s="69"/>
      <c r="K792" t="s">
        <v>1626</v>
      </c>
    </row>
    <row r="793" spans="1:11" x14ac:dyDescent="0.25">
      <c r="A793" s="5" t="s">
        <v>1463</v>
      </c>
      <c r="B793" t="s">
        <v>1004</v>
      </c>
      <c r="C793">
        <v>0</v>
      </c>
      <c r="D793" t="s">
        <v>1591</v>
      </c>
      <c r="E793">
        <v>0</v>
      </c>
      <c r="F793" t="s">
        <v>1592</v>
      </c>
      <c r="G793" t="s">
        <v>1654</v>
      </c>
      <c r="H793">
        <v>0</v>
      </c>
      <c r="I793">
        <v>0</v>
      </c>
      <c r="J793" s="69"/>
      <c r="K793" t="s">
        <v>1626</v>
      </c>
    </row>
    <row r="794" spans="1:11" x14ac:dyDescent="0.25">
      <c r="A794" s="5" t="s">
        <v>1463</v>
      </c>
      <c r="B794" t="s">
        <v>1004</v>
      </c>
      <c r="C794">
        <v>0</v>
      </c>
      <c r="D794" t="s">
        <v>1125</v>
      </c>
      <c r="E794">
        <v>0</v>
      </c>
      <c r="F794" t="s">
        <v>1126</v>
      </c>
      <c r="G794" t="s">
        <v>1654</v>
      </c>
      <c r="H794">
        <v>0</v>
      </c>
      <c r="I794">
        <v>0</v>
      </c>
      <c r="J794" s="69"/>
      <c r="K794" t="s">
        <v>1626</v>
      </c>
    </row>
    <row r="795" spans="1:11" x14ac:dyDescent="0.25">
      <c r="A795" s="5" t="s">
        <v>1463</v>
      </c>
      <c r="B795" t="s">
        <v>1004</v>
      </c>
      <c r="C795">
        <v>0</v>
      </c>
      <c r="D795" t="s">
        <v>1131</v>
      </c>
      <c r="E795">
        <v>0</v>
      </c>
      <c r="F795" t="s">
        <v>1132</v>
      </c>
      <c r="G795" t="s">
        <v>1654</v>
      </c>
      <c r="H795">
        <v>0</v>
      </c>
      <c r="I795">
        <v>0</v>
      </c>
      <c r="J795" s="69"/>
      <c r="K795" t="s">
        <v>1626</v>
      </c>
    </row>
    <row r="796" spans="1:11" x14ac:dyDescent="0.25">
      <c r="A796" s="5" t="s">
        <v>1463</v>
      </c>
      <c r="B796" t="s">
        <v>1004</v>
      </c>
      <c r="C796">
        <v>0</v>
      </c>
      <c r="D796" t="s">
        <v>1133</v>
      </c>
      <c r="E796">
        <v>0</v>
      </c>
      <c r="F796" t="s">
        <v>1134</v>
      </c>
      <c r="G796" t="s">
        <v>1654</v>
      </c>
      <c r="H796">
        <v>0</v>
      </c>
      <c r="I796">
        <v>0</v>
      </c>
      <c r="J796" s="69"/>
      <c r="K796" t="s">
        <v>1626</v>
      </c>
    </row>
    <row r="797" spans="1:11" x14ac:dyDescent="0.25">
      <c r="A797" s="5" t="s">
        <v>1463</v>
      </c>
      <c r="B797" t="s">
        <v>1004</v>
      </c>
      <c r="C797">
        <v>0</v>
      </c>
      <c r="D797" t="s">
        <v>1137</v>
      </c>
      <c r="E797">
        <v>0</v>
      </c>
      <c r="F797" t="s">
        <v>1138</v>
      </c>
      <c r="G797" t="s">
        <v>1654</v>
      </c>
      <c r="H797">
        <v>0</v>
      </c>
      <c r="I797">
        <v>0</v>
      </c>
      <c r="J797" s="69"/>
      <c r="K797" t="s">
        <v>1626</v>
      </c>
    </row>
    <row r="798" spans="1:11" x14ac:dyDescent="0.25">
      <c r="A798" s="5" t="s">
        <v>1463</v>
      </c>
      <c r="B798" t="s">
        <v>1004</v>
      </c>
      <c r="C798">
        <v>0</v>
      </c>
      <c r="D798" t="s">
        <v>1139</v>
      </c>
      <c r="E798">
        <v>0</v>
      </c>
      <c r="F798" t="s">
        <v>1140</v>
      </c>
      <c r="G798" t="s">
        <v>1654</v>
      </c>
      <c r="H798">
        <v>0</v>
      </c>
      <c r="I798">
        <v>0</v>
      </c>
      <c r="J798" s="69"/>
      <c r="K798" t="s">
        <v>1626</v>
      </c>
    </row>
    <row r="799" spans="1:11" x14ac:dyDescent="0.25">
      <c r="A799" s="5" t="s">
        <v>1463</v>
      </c>
      <c r="B799" t="s">
        <v>1004</v>
      </c>
      <c r="C799">
        <v>0</v>
      </c>
      <c r="D799" t="s">
        <v>1141</v>
      </c>
      <c r="E799">
        <v>0</v>
      </c>
      <c r="F799" t="s">
        <v>1142</v>
      </c>
      <c r="G799" t="s">
        <v>1654</v>
      </c>
      <c r="H799">
        <v>0</v>
      </c>
      <c r="I799">
        <v>0</v>
      </c>
      <c r="J799" s="69"/>
      <c r="K799" t="s">
        <v>1626</v>
      </c>
    </row>
    <row r="800" spans="1:11" x14ac:dyDescent="0.25">
      <c r="A800" s="5" t="s">
        <v>1463</v>
      </c>
      <c r="B800" t="s">
        <v>1004</v>
      </c>
      <c r="C800">
        <v>0</v>
      </c>
      <c r="D800" t="s">
        <v>1152</v>
      </c>
      <c r="E800">
        <v>0</v>
      </c>
      <c r="F800" t="s">
        <v>473</v>
      </c>
      <c r="G800" t="s">
        <v>1693</v>
      </c>
      <c r="H800">
        <v>0</v>
      </c>
      <c r="I800">
        <v>0</v>
      </c>
      <c r="J800" s="69"/>
      <c r="K800" t="s">
        <v>1626</v>
      </c>
    </row>
    <row r="801" spans="1:11" x14ac:dyDescent="0.25">
      <c r="A801" s="5" t="s">
        <v>1463</v>
      </c>
      <c r="B801" t="s">
        <v>1004</v>
      </c>
      <c r="C801">
        <v>0</v>
      </c>
      <c r="D801" t="s">
        <v>1152</v>
      </c>
      <c r="E801">
        <v>0</v>
      </c>
      <c r="F801" t="s">
        <v>473</v>
      </c>
      <c r="G801" t="s">
        <v>1694</v>
      </c>
      <c r="H801">
        <v>0</v>
      </c>
      <c r="I801">
        <v>0</v>
      </c>
      <c r="J801" s="69"/>
      <c r="K801" t="s">
        <v>1626</v>
      </c>
    </row>
    <row r="802" spans="1:11" x14ac:dyDescent="0.25">
      <c r="A802" s="5" t="s">
        <v>1463</v>
      </c>
      <c r="B802" t="s">
        <v>1004</v>
      </c>
      <c r="C802">
        <v>0</v>
      </c>
      <c r="D802" t="s">
        <v>1009</v>
      </c>
      <c r="E802">
        <v>0</v>
      </c>
      <c r="F802" t="s">
        <v>1010</v>
      </c>
      <c r="G802" t="s">
        <v>1786</v>
      </c>
      <c r="H802">
        <v>0</v>
      </c>
      <c r="I802">
        <v>0</v>
      </c>
      <c r="J802" s="69"/>
      <c r="K802" t="s">
        <v>1626</v>
      </c>
    </row>
    <row r="803" spans="1:11" x14ac:dyDescent="0.25">
      <c r="A803" s="5" t="s">
        <v>1463</v>
      </c>
      <c r="B803" t="s">
        <v>1004</v>
      </c>
      <c r="C803">
        <v>0</v>
      </c>
      <c r="D803" t="s">
        <v>1904</v>
      </c>
      <c r="E803">
        <v>0</v>
      </c>
      <c r="F803" t="s">
        <v>1905</v>
      </c>
      <c r="G803" t="s">
        <v>1909</v>
      </c>
      <c r="H803">
        <v>0</v>
      </c>
      <c r="I803">
        <v>0</v>
      </c>
      <c r="J803" s="69"/>
      <c r="K803" t="s">
        <v>1626</v>
      </c>
    </row>
    <row r="804" spans="1:11" x14ac:dyDescent="0.25">
      <c r="A804" s="5" t="s">
        <v>1463</v>
      </c>
      <c r="B804" t="s">
        <v>1004</v>
      </c>
      <c r="C804">
        <v>0</v>
      </c>
      <c r="D804" t="s">
        <v>1150</v>
      </c>
      <c r="E804">
        <v>0</v>
      </c>
      <c r="F804" t="s">
        <v>1151</v>
      </c>
      <c r="G804" t="s">
        <v>1750</v>
      </c>
      <c r="H804">
        <v>0</v>
      </c>
      <c r="I804">
        <v>0</v>
      </c>
      <c r="J804" s="69"/>
      <c r="K804" t="s">
        <v>1626</v>
      </c>
    </row>
    <row r="805" spans="1:11" x14ac:dyDescent="0.25">
      <c r="A805" s="5" t="s">
        <v>1463</v>
      </c>
      <c r="B805" t="s">
        <v>1004</v>
      </c>
      <c r="C805">
        <v>0</v>
      </c>
      <c r="D805" t="s">
        <v>1157</v>
      </c>
      <c r="E805">
        <v>0</v>
      </c>
      <c r="F805" t="s">
        <v>1158</v>
      </c>
      <c r="G805" t="s">
        <v>1664</v>
      </c>
      <c r="H805">
        <v>0</v>
      </c>
      <c r="I805">
        <v>0</v>
      </c>
      <c r="J805" s="69"/>
      <c r="K805" t="s">
        <v>1626</v>
      </c>
    </row>
    <row r="806" spans="1:11" x14ac:dyDescent="0.25">
      <c r="A806" s="5" t="s">
        <v>1463</v>
      </c>
      <c r="B806" t="s">
        <v>1004</v>
      </c>
      <c r="C806">
        <v>0</v>
      </c>
      <c r="D806" t="s">
        <v>1159</v>
      </c>
      <c r="E806">
        <v>0</v>
      </c>
      <c r="F806" t="s">
        <v>1160</v>
      </c>
      <c r="G806" t="s">
        <v>1664</v>
      </c>
      <c r="H806">
        <v>0</v>
      </c>
      <c r="I806">
        <v>0</v>
      </c>
      <c r="J806" s="69"/>
      <c r="K806" t="s">
        <v>1626</v>
      </c>
    </row>
    <row r="807" spans="1:11" x14ac:dyDescent="0.25">
      <c r="A807" s="5" t="s">
        <v>1463</v>
      </c>
      <c r="B807" t="s">
        <v>1004</v>
      </c>
      <c r="C807">
        <v>0</v>
      </c>
      <c r="D807" t="s">
        <v>1161</v>
      </c>
      <c r="E807">
        <v>0</v>
      </c>
      <c r="F807" t="s">
        <v>1162</v>
      </c>
      <c r="G807" t="s">
        <v>1664</v>
      </c>
      <c r="H807">
        <v>0</v>
      </c>
      <c r="I807">
        <v>0</v>
      </c>
      <c r="J807" s="69"/>
      <c r="K807" t="s">
        <v>1626</v>
      </c>
    </row>
    <row r="808" spans="1:11" x14ac:dyDescent="0.25">
      <c r="A808" s="5" t="s">
        <v>1463</v>
      </c>
      <c r="B808" t="s">
        <v>1004</v>
      </c>
      <c r="C808">
        <v>0</v>
      </c>
      <c r="D808" t="s">
        <v>1163</v>
      </c>
      <c r="E808">
        <v>0</v>
      </c>
      <c r="F808" t="s">
        <v>1164</v>
      </c>
      <c r="G808" t="s">
        <v>1664</v>
      </c>
      <c r="H808">
        <v>0</v>
      </c>
      <c r="I808">
        <v>0</v>
      </c>
      <c r="J808" s="69"/>
      <c r="K808" t="s">
        <v>1626</v>
      </c>
    </row>
    <row r="809" spans="1:11" x14ac:dyDescent="0.25">
      <c r="A809" s="5" t="s">
        <v>1463</v>
      </c>
      <c r="B809" t="s">
        <v>1004</v>
      </c>
      <c r="C809">
        <v>0</v>
      </c>
      <c r="D809" t="s">
        <v>1165</v>
      </c>
      <c r="E809">
        <v>0</v>
      </c>
      <c r="F809" t="s">
        <v>1166</v>
      </c>
      <c r="G809" t="s">
        <v>1664</v>
      </c>
      <c r="H809">
        <v>0</v>
      </c>
      <c r="I809">
        <v>0</v>
      </c>
      <c r="J809" s="69"/>
      <c r="K809" t="s">
        <v>1626</v>
      </c>
    </row>
    <row r="810" spans="1:11" x14ac:dyDescent="0.25">
      <c r="A810" s="5" t="s">
        <v>1463</v>
      </c>
      <c r="B810" t="s">
        <v>1004</v>
      </c>
      <c r="C810">
        <v>0</v>
      </c>
      <c r="D810" t="s">
        <v>1007</v>
      </c>
      <c r="E810">
        <v>0</v>
      </c>
      <c r="F810" t="s">
        <v>1008</v>
      </c>
      <c r="G810" t="s">
        <v>1751</v>
      </c>
      <c r="H810">
        <v>0</v>
      </c>
      <c r="I810">
        <v>0</v>
      </c>
      <c r="J810" s="69"/>
      <c r="K810" t="s">
        <v>1626</v>
      </c>
    </row>
    <row r="811" spans="1:11" x14ac:dyDescent="0.25">
      <c r="A811" s="5" t="s">
        <v>1463</v>
      </c>
      <c r="B811" t="s">
        <v>1004</v>
      </c>
      <c r="C811">
        <v>0</v>
      </c>
      <c r="D811" t="s">
        <v>1153</v>
      </c>
      <c r="E811">
        <v>0</v>
      </c>
      <c r="F811" t="s">
        <v>1154</v>
      </c>
      <c r="G811">
        <v>3651856</v>
      </c>
      <c r="H811">
        <v>0</v>
      </c>
      <c r="I811">
        <v>0</v>
      </c>
      <c r="J811" s="69"/>
      <c r="K811" t="s">
        <v>1626</v>
      </c>
    </row>
    <row r="812" spans="1:11" x14ac:dyDescent="0.25">
      <c r="A812" s="5" t="s">
        <v>1463</v>
      </c>
      <c r="B812" t="s">
        <v>1004</v>
      </c>
      <c r="C812">
        <v>0</v>
      </c>
      <c r="D812" t="s">
        <v>1148</v>
      </c>
      <c r="E812">
        <v>0</v>
      </c>
      <c r="F812" t="s">
        <v>1149</v>
      </c>
      <c r="G812" t="s">
        <v>1749</v>
      </c>
      <c r="H812">
        <v>0</v>
      </c>
      <c r="I812">
        <v>0</v>
      </c>
      <c r="J812" s="69"/>
      <c r="K812" t="s">
        <v>1626</v>
      </c>
    </row>
    <row r="813" spans="1:11" x14ac:dyDescent="0.25">
      <c r="A813" s="5" t="s">
        <v>1463</v>
      </c>
      <c r="B813" t="s">
        <v>1004</v>
      </c>
      <c r="C813">
        <v>0</v>
      </c>
      <c r="D813" t="s">
        <v>1153</v>
      </c>
      <c r="E813">
        <v>0</v>
      </c>
      <c r="F813" t="s">
        <v>1154</v>
      </c>
      <c r="G813">
        <v>3514716</v>
      </c>
      <c r="H813">
        <v>0</v>
      </c>
      <c r="I813">
        <v>0</v>
      </c>
      <c r="J813" s="69"/>
      <c r="K813" t="s">
        <v>1626</v>
      </c>
    </row>
    <row r="814" spans="1:11" x14ac:dyDescent="0.25">
      <c r="A814" s="5" t="s">
        <v>1463</v>
      </c>
      <c r="B814" t="s">
        <v>1004</v>
      </c>
      <c r="C814">
        <v>0</v>
      </c>
      <c r="D814" t="s">
        <v>1148</v>
      </c>
      <c r="E814">
        <v>0</v>
      </c>
      <c r="F814" t="s">
        <v>1149</v>
      </c>
      <c r="G814" t="s">
        <v>1748</v>
      </c>
      <c r="H814">
        <v>0</v>
      </c>
      <c r="I814">
        <v>0</v>
      </c>
      <c r="J814" s="69"/>
      <c r="K814" t="s">
        <v>1626</v>
      </c>
    </row>
    <row r="815" spans="1:11" x14ac:dyDescent="0.25">
      <c r="A815" s="5" t="s">
        <v>1463</v>
      </c>
      <c r="B815" t="s">
        <v>1004</v>
      </c>
      <c r="C815">
        <v>0</v>
      </c>
      <c r="D815" t="s">
        <v>1904</v>
      </c>
      <c r="E815">
        <v>0</v>
      </c>
      <c r="F815" t="s">
        <v>1905</v>
      </c>
      <c r="G815" t="s">
        <v>1910</v>
      </c>
      <c r="H815">
        <v>0</v>
      </c>
      <c r="I815">
        <v>0</v>
      </c>
      <c r="J815" s="69"/>
      <c r="K815" t="s">
        <v>1626</v>
      </c>
    </row>
    <row r="816" spans="1:11" x14ac:dyDescent="0.25">
      <c r="A816" s="5" t="s">
        <v>1463</v>
      </c>
      <c r="B816" t="s">
        <v>1004</v>
      </c>
      <c r="C816">
        <v>0</v>
      </c>
      <c r="D816" t="s">
        <v>1153</v>
      </c>
      <c r="E816">
        <v>0</v>
      </c>
      <c r="F816" t="s">
        <v>1154</v>
      </c>
      <c r="G816">
        <v>3438373</v>
      </c>
      <c r="H816">
        <v>0</v>
      </c>
      <c r="I816">
        <v>0</v>
      </c>
      <c r="J816" s="69"/>
      <c r="K816" t="s">
        <v>1626</v>
      </c>
    </row>
    <row r="817" spans="1:11" x14ac:dyDescent="0.25">
      <c r="A817" s="5" t="s">
        <v>1463</v>
      </c>
      <c r="B817" t="s">
        <v>1004</v>
      </c>
      <c r="C817">
        <v>0</v>
      </c>
      <c r="D817" t="s">
        <v>1171</v>
      </c>
      <c r="E817">
        <v>0</v>
      </c>
      <c r="F817" t="s">
        <v>1172</v>
      </c>
      <c r="G817" t="s">
        <v>1682</v>
      </c>
      <c r="H817">
        <v>0</v>
      </c>
      <c r="I817">
        <v>0</v>
      </c>
      <c r="J817" s="69"/>
      <c r="K817" t="s">
        <v>1626</v>
      </c>
    </row>
    <row r="818" spans="1:11" x14ac:dyDescent="0.25">
      <c r="A818" s="5" t="s">
        <v>1463</v>
      </c>
      <c r="B818" t="s">
        <v>1004</v>
      </c>
      <c r="C818">
        <v>0</v>
      </c>
      <c r="D818" t="s">
        <v>1169</v>
      </c>
      <c r="E818">
        <v>0</v>
      </c>
      <c r="F818" t="s">
        <v>1170</v>
      </c>
      <c r="G818" t="s">
        <v>1658</v>
      </c>
      <c r="H818">
        <v>0</v>
      </c>
      <c r="I818">
        <v>0</v>
      </c>
      <c r="J818" s="69"/>
      <c r="K818" t="s">
        <v>1626</v>
      </c>
    </row>
    <row r="819" spans="1:11" x14ac:dyDescent="0.25">
      <c r="A819" s="5" t="s">
        <v>1463</v>
      </c>
      <c r="B819" t="s">
        <v>1004</v>
      </c>
      <c r="C819">
        <v>0</v>
      </c>
      <c r="D819" t="s">
        <v>1143</v>
      </c>
      <c r="E819">
        <v>0</v>
      </c>
      <c r="F819" t="s">
        <v>180</v>
      </c>
      <c r="G819" t="s">
        <v>1642</v>
      </c>
      <c r="H819">
        <v>0</v>
      </c>
      <c r="I819">
        <v>0</v>
      </c>
      <c r="J819" s="69"/>
      <c r="K819" t="s">
        <v>1626</v>
      </c>
    </row>
    <row r="820" spans="1:11" x14ac:dyDescent="0.25">
      <c r="A820" s="5" t="s">
        <v>1463</v>
      </c>
      <c r="B820" t="s">
        <v>1004</v>
      </c>
      <c r="C820">
        <v>0</v>
      </c>
      <c r="D820" t="s">
        <v>1144</v>
      </c>
      <c r="E820">
        <v>0</v>
      </c>
      <c r="F820" t="s">
        <v>1145</v>
      </c>
      <c r="G820" t="s">
        <v>1642</v>
      </c>
      <c r="H820">
        <v>0</v>
      </c>
      <c r="I820">
        <v>0</v>
      </c>
      <c r="J820" s="69"/>
      <c r="K820" t="s">
        <v>1626</v>
      </c>
    </row>
    <row r="821" spans="1:11" x14ac:dyDescent="0.25">
      <c r="A821" s="5" t="s">
        <v>1463</v>
      </c>
      <c r="B821" t="s">
        <v>1004</v>
      </c>
      <c r="C821">
        <v>0</v>
      </c>
      <c r="D821" t="s">
        <v>1146</v>
      </c>
      <c r="E821">
        <v>0</v>
      </c>
      <c r="F821" t="s">
        <v>1147</v>
      </c>
      <c r="G821" t="s">
        <v>1642</v>
      </c>
      <c r="H821">
        <v>0</v>
      </c>
      <c r="I821">
        <v>0</v>
      </c>
      <c r="J821" s="69"/>
      <c r="K821" t="s">
        <v>1626</v>
      </c>
    </row>
    <row r="822" spans="1:11" x14ac:dyDescent="0.25">
      <c r="A822" s="5" t="s">
        <v>1463</v>
      </c>
      <c r="B822" t="s">
        <v>1004</v>
      </c>
      <c r="C822">
        <v>0</v>
      </c>
      <c r="D822" t="s">
        <v>1498</v>
      </c>
      <c r="E822">
        <v>0</v>
      </c>
      <c r="F822" t="s">
        <v>1499</v>
      </c>
      <c r="G822" t="s">
        <v>1663</v>
      </c>
      <c r="H822">
        <v>0</v>
      </c>
      <c r="I822">
        <v>0</v>
      </c>
      <c r="J822" s="69"/>
      <c r="K822" t="s">
        <v>1626</v>
      </c>
    </row>
    <row r="823" spans="1:11" x14ac:dyDescent="0.25">
      <c r="A823" s="5" t="s">
        <v>1463</v>
      </c>
      <c r="B823" t="s">
        <v>1004</v>
      </c>
      <c r="C823">
        <v>0</v>
      </c>
      <c r="D823" t="s">
        <v>1177</v>
      </c>
      <c r="E823">
        <v>0</v>
      </c>
      <c r="F823" t="s">
        <v>1178</v>
      </c>
      <c r="G823" t="s">
        <v>1756</v>
      </c>
      <c r="H823">
        <v>0</v>
      </c>
      <c r="I823">
        <v>0</v>
      </c>
      <c r="J823" s="69"/>
      <c r="K823" t="s">
        <v>1626</v>
      </c>
    </row>
    <row r="824" spans="1:11" x14ac:dyDescent="0.25">
      <c r="A824" s="5" t="s">
        <v>1463</v>
      </c>
      <c r="B824" t="s">
        <v>1004</v>
      </c>
      <c r="C824">
        <v>0</v>
      </c>
      <c r="D824" t="s">
        <v>1169</v>
      </c>
      <c r="E824">
        <v>0</v>
      </c>
      <c r="F824" t="s">
        <v>1170</v>
      </c>
      <c r="G824" t="s">
        <v>1659</v>
      </c>
      <c r="H824">
        <v>0</v>
      </c>
      <c r="I824">
        <v>0</v>
      </c>
      <c r="J824" s="69"/>
      <c r="K824" t="s">
        <v>1626</v>
      </c>
    </row>
    <row r="825" spans="1:11" x14ac:dyDescent="0.25">
      <c r="A825" s="5" t="s">
        <v>1463</v>
      </c>
      <c r="B825" t="s">
        <v>1004</v>
      </c>
      <c r="C825">
        <v>0</v>
      </c>
      <c r="D825" t="s">
        <v>1169</v>
      </c>
      <c r="E825">
        <v>0</v>
      </c>
      <c r="F825" t="s">
        <v>1170</v>
      </c>
      <c r="G825" t="s">
        <v>1676</v>
      </c>
      <c r="H825">
        <v>0</v>
      </c>
      <c r="I825">
        <v>0</v>
      </c>
      <c r="J825" s="69"/>
      <c r="K825" t="s">
        <v>1626</v>
      </c>
    </row>
    <row r="826" spans="1:11" x14ac:dyDescent="0.25">
      <c r="A826" s="5" t="s">
        <v>1463</v>
      </c>
      <c r="B826" t="s">
        <v>1004</v>
      </c>
      <c r="C826">
        <v>0</v>
      </c>
      <c r="D826" t="s">
        <v>1167</v>
      </c>
      <c r="E826">
        <v>0</v>
      </c>
      <c r="F826" t="s">
        <v>1168</v>
      </c>
      <c r="G826" t="s">
        <v>1667</v>
      </c>
      <c r="H826">
        <v>0</v>
      </c>
      <c r="I826">
        <v>0</v>
      </c>
      <c r="J826" s="69"/>
      <c r="K826" t="s">
        <v>1626</v>
      </c>
    </row>
    <row r="827" spans="1:11" x14ac:dyDescent="0.25">
      <c r="A827" s="5" t="s">
        <v>1463</v>
      </c>
      <c r="B827" t="s">
        <v>1004</v>
      </c>
      <c r="C827">
        <v>0</v>
      </c>
      <c r="D827" t="s">
        <v>1904</v>
      </c>
      <c r="E827">
        <v>0</v>
      </c>
      <c r="F827" t="s">
        <v>1905</v>
      </c>
      <c r="G827" t="s">
        <v>1911</v>
      </c>
      <c r="H827">
        <v>0</v>
      </c>
      <c r="I827">
        <v>0</v>
      </c>
      <c r="J827" s="69"/>
      <c r="K827" t="s">
        <v>1626</v>
      </c>
    </row>
    <row r="828" spans="1:11" x14ac:dyDescent="0.25">
      <c r="A828" s="5" t="s">
        <v>1463</v>
      </c>
      <c r="B828" t="s">
        <v>1004</v>
      </c>
      <c r="C828">
        <v>0</v>
      </c>
      <c r="D828" t="s">
        <v>1790</v>
      </c>
      <c r="E828">
        <v>0</v>
      </c>
      <c r="F828" t="s">
        <v>1791</v>
      </c>
      <c r="G828" t="s">
        <v>1662</v>
      </c>
      <c r="H828">
        <v>0</v>
      </c>
      <c r="I828">
        <v>0</v>
      </c>
      <c r="J828" s="69"/>
      <c r="K828" t="s">
        <v>1626</v>
      </c>
    </row>
    <row r="829" spans="1:11" x14ac:dyDescent="0.25">
      <c r="A829" s="5" t="s">
        <v>1463</v>
      </c>
      <c r="B829" t="s">
        <v>1004</v>
      </c>
      <c r="C829">
        <v>0</v>
      </c>
      <c r="D829" t="s">
        <v>1593</v>
      </c>
      <c r="E829">
        <v>0</v>
      </c>
      <c r="F829" t="s">
        <v>1594</v>
      </c>
      <c r="G829" t="s">
        <v>1662</v>
      </c>
      <c r="H829">
        <v>0</v>
      </c>
      <c r="I829">
        <v>0</v>
      </c>
      <c r="J829" s="69"/>
      <c r="K829" t="s">
        <v>1626</v>
      </c>
    </row>
    <row r="830" spans="1:11" x14ac:dyDescent="0.25">
      <c r="A830" s="5" t="s">
        <v>1463</v>
      </c>
      <c r="B830" t="s">
        <v>1004</v>
      </c>
      <c r="C830">
        <v>0</v>
      </c>
      <c r="D830" t="s">
        <v>1177</v>
      </c>
      <c r="E830">
        <v>0</v>
      </c>
      <c r="F830" t="s">
        <v>1178</v>
      </c>
      <c r="G830" t="s">
        <v>1892</v>
      </c>
      <c r="H830">
        <v>0</v>
      </c>
      <c r="I830">
        <v>0</v>
      </c>
      <c r="J830" s="69"/>
      <c r="K830" t="s">
        <v>1626</v>
      </c>
    </row>
    <row r="831" spans="1:11" x14ac:dyDescent="0.25">
      <c r="A831" s="5" t="s">
        <v>1463</v>
      </c>
      <c r="B831" t="s">
        <v>1004</v>
      </c>
      <c r="C831">
        <v>0</v>
      </c>
      <c r="D831" t="s">
        <v>1153</v>
      </c>
      <c r="E831">
        <v>0</v>
      </c>
      <c r="F831" t="s">
        <v>1154</v>
      </c>
      <c r="G831">
        <v>3514711</v>
      </c>
      <c r="H831">
        <v>0</v>
      </c>
      <c r="I831">
        <v>0</v>
      </c>
      <c r="J831" s="69"/>
      <c r="K831" t="s">
        <v>1626</v>
      </c>
    </row>
    <row r="832" spans="1:11" x14ac:dyDescent="0.25">
      <c r="A832" s="5" t="s">
        <v>1463</v>
      </c>
      <c r="B832" t="s">
        <v>1004</v>
      </c>
      <c r="C832">
        <v>0</v>
      </c>
      <c r="D832" t="s">
        <v>1007</v>
      </c>
      <c r="E832">
        <v>0</v>
      </c>
      <c r="F832" t="s">
        <v>1008</v>
      </c>
      <c r="G832" t="s">
        <v>1752</v>
      </c>
      <c r="H832">
        <v>0</v>
      </c>
      <c r="I832">
        <v>0</v>
      </c>
      <c r="J832" s="69"/>
      <c r="K832" t="s">
        <v>1626</v>
      </c>
    </row>
    <row r="833" spans="1:11" x14ac:dyDescent="0.25">
      <c r="A833" s="5" t="s">
        <v>1463</v>
      </c>
      <c r="B833" t="s">
        <v>1004</v>
      </c>
      <c r="C833">
        <v>0</v>
      </c>
      <c r="D833" t="s">
        <v>1500</v>
      </c>
      <c r="E833">
        <v>0</v>
      </c>
      <c r="F833" t="s">
        <v>1501</v>
      </c>
      <c r="G833" t="s">
        <v>1792</v>
      </c>
      <c r="H833">
        <v>0</v>
      </c>
      <c r="I833">
        <v>0</v>
      </c>
      <c r="J833" s="69"/>
      <c r="K833" t="s">
        <v>1626</v>
      </c>
    </row>
    <row r="834" spans="1:11" x14ac:dyDescent="0.25">
      <c r="A834" s="5" t="s">
        <v>1463</v>
      </c>
      <c r="B834" t="s">
        <v>1004</v>
      </c>
      <c r="C834">
        <v>0</v>
      </c>
      <c r="D834" t="s">
        <v>1502</v>
      </c>
      <c r="E834">
        <v>0</v>
      </c>
      <c r="F834" t="s">
        <v>1503</v>
      </c>
      <c r="G834" t="s">
        <v>1793</v>
      </c>
      <c r="H834">
        <v>0</v>
      </c>
      <c r="I834">
        <v>0</v>
      </c>
      <c r="J834" s="69"/>
      <c r="K834" t="s">
        <v>1626</v>
      </c>
    </row>
    <row r="835" spans="1:11" x14ac:dyDescent="0.25">
      <c r="A835" s="5" t="s">
        <v>1463</v>
      </c>
      <c r="B835" t="s">
        <v>1004</v>
      </c>
      <c r="C835">
        <v>0</v>
      </c>
      <c r="D835" t="s">
        <v>1183</v>
      </c>
      <c r="E835">
        <v>0</v>
      </c>
      <c r="F835" t="s">
        <v>1184</v>
      </c>
      <c r="G835" t="s">
        <v>1794</v>
      </c>
      <c r="H835">
        <v>0</v>
      </c>
      <c r="I835">
        <v>0</v>
      </c>
      <c r="J835" s="69"/>
      <c r="K835" t="s">
        <v>1626</v>
      </c>
    </row>
    <row r="836" spans="1:11" x14ac:dyDescent="0.25">
      <c r="A836" s="5" t="s">
        <v>1463</v>
      </c>
      <c r="B836" t="s">
        <v>1004</v>
      </c>
      <c r="C836">
        <v>0</v>
      </c>
      <c r="D836" t="s">
        <v>1181</v>
      </c>
      <c r="E836">
        <v>0</v>
      </c>
      <c r="F836" t="s">
        <v>1182</v>
      </c>
      <c r="G836" t="s">
        <v>1794</v>
      </c>
      <c r="H836">
        <v>0</v>
      </c>
      <c r="I836">
        <v>0</v>
      </c>
      <c r="J836" s="69"/>
      <c r="K836" t="s">
        <v>1626</v>
      </c>
    </row>
    <row r="837" spans="1:11" x14ac:dyDescent="0.25">
      <c r="A837" s="5" t="s">
        <v>1463</v>
      </c>
      <c r="B837" t="s">
        <v>1004</v>
      </c>
      <c r="C837">
        <v>0</v>
      </c>
      <c r="D837" t="s">
        <v>1181</v>
      </c>
      <c r="E837">
        <v>0</v>
      </c>
      <c r="F837" t="s">
        <v>1182</v>
      </c>
      <c r="G837" t="s">
        <v>1795</v>
      </c>
      <c r="H837">
        <v>0</v>
      </c>
      <c r="I837">
        <v>0</v>
      </c>
      <c r="J837" s="69"/>
      <c r="K837" t="s">
        <v>1626</v>
      </c>
    </row>
    <row r="838" spans="1:11" x14ac:dyDescent="0.25">
      <c r="A838" s="5" t="s">
        <v>1463</v>
      </c>
      <c r="B838" t="s">
        <v>1004</v>
      </c>
      <c r="C838">
        <v>0</v>
      </c>
      <c r="D838" t="s">
        <v>1169</v>
      </c>
      <c r="E838">
        <v>0</v>
      </c>
      <c r="F838" t="s">
        <v>1170</v>
      </c>
      <c r="G838" t="s">
        <v>1677</v>
      </c>
      <c r="H838">
        <v>0</v>
      </c>
      <c r="I838">
        <v>0</v>
      </c>
      <c r="J838" s="69"/>
      <c r="K838" t="s">
        <v>1626</v>
      </c>
    </row>
    <row r="839" spans="1:11" x14ac:dyDescent="0.25">
      <c r="A839" s="5" t="s">
        <v>1463</v>
      </c>
      <c r="B839" t="s">
        <v>1004</v>
      </c>
      <c r="C839">
        <v>0</v>
      </c>
      <c r="D839" t="s">
        <v>1150</v>
      </c>
      <c r="E839">
        <v>0</v>
      </c>
      <c r="F839" t="s">
        <v>1151</v>
      </c>
      <c r="G839" t="s">
        <v>1753</v>
      </c>
      <c r="H839">
        <v>0</v>
      </c>
      <c r="I839">
        <v>0</v>
      </c>
      <c r="J839" s="69"/>
      <c r="K839" t="s">
        <v>1626</v>
      </c>
    </row>
    <row r="840" spans="1:11" x14ac:dyDescent="0.25">
      <c r="A840" s="5" t="s">
        <v>1463</v>
      </c>
      <c r="B840" t="s">
        <v>1185</v>
      </c>
      <c r="C840">
        <v>990200</v>
      </c>
      <c r="D840" t="s">
        <v>1186</v>
      </c>
      <c r="E840">
        <v>0</v>
      </c>
      <c r="F840" t="s">
        <v>1187</v>
      </c>
      <c r="G840" t="s">
        <v>1626</v>
      </c>
      <c r="H840">
        <v>1000000</v>
      </c>
      <c r="I840">
        <v>0</v>
      </c>
      <c r="J840" s="69"/>
      <c r="K840" t="s">
        <v>1626</v>
      </c>
    </row>
    <row r="841" spans="1:11" x14ac:dyDescent="0.25">
      <c r="A841" s="5" t="s">
        <v>1463</v>
      </c>
      <c r="B841" t="s">
        <v>1185</v>
      </c>
      <c r="C841">
        <v>8200</v>
      </c>
      <c r="D841" t="s">
        <v>1912</v>
      </c>
      <c r="E841">
        <v>0</v>
      </c>
      <c r="F841" t="s">
        <v>1863</v>
      </c>
      <c r="G841" t="s">
        <v>1864</v>
      </c>
      <c r="H841">
        <v>10000</v>
      </c>
      <c r="I841">
        <v>0</v>
      </c>
      <c r="J841" s="69"/>
      <c r="K841" t="s">
        <v>1626</v>
      </c>
    </row>
    <row r="842" spans="1:11" x14ac:dyDescent="0.25">
      <c r="A842" s="5" t="s">
        <v>1463</v>
      </c>
      <c r="B842" t="s">
        <v>1185</v>
      </c>
      <c r="C842">
        <v>250800</v>
      </c>
      <c r="D842" t="s">
        <v>1913</v>
      </c>
      <c r="E842">
        <v>0</v>
      </c>
      <c r="F842" t="s">
        <v>1914</v>
      </c>
      <c r="G842">
        <v>6511669735</v>
      </c>
      <c r="H842">
        <v>275000</v>
      </c>
      <c r="I842">
        <v>0</v>
      </c>
      <c r="J842" s="69"/>
      <c r="K842" t="s">
        <v>1626</v>
      </c>
    </row>
    <row r="843" spans="1:11" x14ac:dyDescent="0.25">
      <c r="A843" s="5" t="s">
        <v>1463</v>
      </c>
      <c r="B843" t="s">
        <v>1188</v>
      </c>
      <c r="C843">
        <v>99506</v>
      </c>
      <c r="D843" t="s">
        <v>1189</v>
      </c>
      <c r="E843">
        <v>0</v>
      </c>
      <c r="F843" t="s">
        <v>1190</v>
      </c>
      <c r="G843" t="s">
        <v>1626</v>
      </c>
      <c r="H843">
        <v>99999</v>
      </c>
      <c r="I843">
        <v>0</v>
      </c>
      <c r="J843" s="69"/>
      <c r="K843" t="s">
        <v>1626</v>
      </c>
    </row>
    <row r="844" spans="1:11" x14ac:dyDescent="0.25">
      <c r="A844" s="5" t="s">
        <v>1463</v>
      </c>
      <c r="B844" t="s">
        <v>1191</v>
      </c>
      <c r="C844">
        <v>991300</v>
      </c>
      <c r="D844" t="s">
        <v>1192</v>
      </c>
      <c r="E844">
        <v>0</v>
      </c>
      <c r="F844" t="s">
        <v>1193</v>
      </c>
      <c r="G844" t="s">
        <v>1626</v>
      </c>
      <c r="H844">
        <v>1000000</v>
      </c>
      <c r="I844">
        <v>0</v>
      </c>
      <c r="J844" s="69"/>
      <c r="K844" t="s">
        <v>1626</v>
      </c>
    </row>
    <row r="845" spans="1:11" x14ac:dyDescent="0.25">
      <c r="A845" s="5" t="s">
        <v>1463</v>
      </c>
      <c r="B845" t="s">
        <v>1191</v>
      </c>
      <c r="C845">
        <v>275000</v>
      </c>
      <c r="D845" t="s">
        <v>1915</v>
      </c>
      <c r="E845">
        <v>0</v>
      </c>
      <c r="F845" t="s">
        <v>1916</v>
      </c>
      <c r="G845">
        <v>6511669735</v>
      </c>
      <c r="H845">
        <v>275000</v>
      </c>
      <c r="I845">
        <v>0</v>
      </c>
      <c r="J845" s="69"/>
      <c r="K845" t="s">
        <v>1626</v>
      </c>
    </row>
    <row r="846" spans="1:11" x14ac:dyDescent="0.25">
      <c r="A846" s="5" t="s">
        <v>1463</v>
      </c>
      <c r="B846" t="s">
        <v>1194</v>
      </c>
      <c r="C846">
        <v>18662</v>
      </c>
      <c r="D846" t="s">
        <v>1195</v>
      </c>
      <c r="E846">
        <v>0</v>
      </c>
      <c r="F846" t="s">
        <v>1196</v>
      </c>
      <c r="G846" t="s">
        <v>1626</v>
      </c>
      <c r="H846">
        <v>20000</v>
      </c>
      <c r="I846">
        <v>0</v>
      </c>
      <c r="J846" s="69"/>
      <c r="K846" t="s">
        <v>1626</v>
      </c>
    </row>
    <row r="847" spans="1:11" x14ac:dyDescent="0.25">
      <c r="A847" s="5" t="s">
        <v>1463</v>
      </c>
      <c r="B847" t="s">
        <v>1197</v>
      </c>
      <c r="C847">
        <v>99999</v>
      </c>
      <c r="D847" t="s">
        <v>1198</v>
      </c>
      <c r="E847">
        <v>0</v>
      </c>
      <c r="F847" t="s">
        <v>1199</v>
      </c>
      <c r="G847" t="s">
        <v>1626</v>
      </c>
      <c r="H847">
        <v>99999</v>
      </c>
      <c r="I847">
        <v>0</v>
      </c>
      <c r="J847" s="69"/>
      <c r="K847" t="s">
        <v>1626</v>
      </c>
    </row>
    <row r="848" spans="1:11" x14ac:dyDescent="0.25">
      <c r="A848" s="5" t="s">
        <v>1463</v>
      </c>
      <c r="B848" t="s">
        <v>1200</v>
      </c>
      <c r="C848">
        <v>20000</v>
      </c>
      <c r="D848" t="s">
        <v>1201</v>
      </c>
      <c r="E848">
        <v>0</v>
      </c>
      <c r="F848" t="s">
        <v>1202</v>
      </c>
      <c r="G848" t="s">
        <v>1626</v>
      </c>
      <c r="H848">
        <v>20000</v>
      </c>
      <c r="I848">
        <v>0</v>
      </c>
      <c r="J848" s="69"/>
      <c r="K848" t="s">
        <v>1626</v>
      </c>
    </row>
    <row r="849" spans="1:11" x14ac:dyDescent="0.25">
      <c r="A849" s="5" t="s">
        <v>1463</v>
      </c>
      <c r="B849" t="s">
        <v>1203</v>
      </c>
      <c r="C849">
        <v>8966</v>
      </c>
      <c r="D849" t="s">
        <v>1207</v>
      </c>
      <c r="E849">
        <v>0</v>
      </c>
      <c r="F849" t="s">
        <v>1208</v>
      </c>
      <c r="G849" t="s">
        <v>1628</v>
      </c>
      <c r="H849">
        <v>10000</v>
      </c>
      <c r="I849">
        <v>0</v>
      </c>
      <c r="J849" s="69"/>
      <c r="K849" t="s">
        <v>1626</v>
      </c>
    </row>
    <row r="850" spans="1:11" x14ac:dyDescent="0.25">
      <c r="A850" s="5" t="s">
        <v>1463</v>
      </c>
      <c r="B850" t="s">
        <v>1203</v>
      </c>
      <c r="C850">
        <v>8967</v>
      </c>
      <c r="D850" t="s">
        <v>1209</v>
      </c>
      <c r="E850">
        <v>0</v>
      </c>
      <c r="F850" t="s">
        <v>74</v>
      </c>
      <c r="G850">
        <v>1016224600041</v>
      </c>
      <c r="H850">
        <v>10000</v>
      </c>
      <c r="I850">
        <v>0</v>
      </c>
      <c r="J850" s="69"/>
      <c r="K850" t="s">
        <v>1626</v>
      </c>
    </row>
    <row r="851" spans="1:11" x14ac:dyDescent="0.25">
      <c r="A851" s="5" t="s">
        <v>1463</v>
      </c>
      <c r="B851" t="s">
        <v>1203</v>
      </c>
      <c r="C851">
        <v>8967</v>
      </c>
      <c r="D851" t="s">
        <v>1214</v>
      </c>
      <c r="E851">
        <v>0</v>
      </c>
      <c r="F851" t="s">
        <v>84</v>
      </c>
      <c r="G851">
        <v>1016224602815</v>
      </c>
      <c r="H851">
        <v>10000</v>
      </c>
      <c r="I851">
        <v>0</v>
      </c>
      <c r="J851" s="69"/>
      <c r="K851" t="s">
        <v>1626</v>
      </c>
    </row>
    <row r="852" spans="1:11" x14ac:dyDescent="0.25">
      <c r="A852" s="5" t="s">
        <v>1463</v>
      </c>
      <c r="B852" t="s">
        <v>1203</v>
      </c>
      <c r="C852">
        <v>8967</v>
      </c>
      <c r="D852" t="s">
        <v>1211</v>
      </c>
      <c r="E852">
        <v>0</v>
      </c>
      <c r="F852" t="s">
        <v>78</v>
      </c>
      <c r="G852">
        <v>1016224603669</v>
      </c>
      <c r="H852">
        <v>10000</v>
      </c>
      <c r="I852">
        <v>0</v>
      </c>
      <c r="J852" s="69"/>
      <c r="K852" t="s">
        <v>1626</v>
      </c>
    </row>
    <row r="853" spans="1:11" x14ac:dyDescent="0.25">
      <c r="A853" s="5" t="s">
        <v>1463</v>
      </c>
      <c r="B853" t="s">
        <v>1203</v>
      </c>
      <c r="C853">
        <v>8967</v>
      </c>
      <c r="D853" t="s">
        <v>1212</v>
      </c>
      <c r="E853">
        <v>0</v>
      </c>
      <c r="F853" t="s">
        <v>80</v>
      </c>
      <c r="G853">
        <v>1016224603367</v>
      </c>
      <c r="H853">
        <v>10000</v>
      </c>
      <c r="I853">
        <v>0</v>
      </c>
      <c r="J853" s="69"/>
      <c r="K853" t="s">
        <v>1626</v>
      </c>
    </row>
    <row r="854" spans="1:11" x14ac:dyDescent="0.25">
      <c r="A854" s="5" t="s">
        <v>1463</v>
      </c>
      <c r="B854" t="s">
        <v>1203</v>
      </c>
      <c r="C854">
        <v>8967</v>
      </c>
      <c r="D854" t="s">
        <v>1213</v>
      </c>
      <c r="E854">
        <v>0</v>
      </c>
      <c r="F854" t="s">
        <v>82</v>
      </c>
      <c r="G854" t="s">
        <v>1631</v>
      </c>
      <c r="H854">
        <v>10000</v>
      </c>
      <c r="I854">
        <v>0</v>
      </c>
      <c r="J854" s="69"/>
      <c r="K854" t="s">
        <v>1626</v>
      </c>
    </row>
    <row r="855" spans="1:11" x14ac:dyDescent="0.25">
      <c r="A855" s="5" t="s">
        <v>1463</v>
      </c>
      <c r="B855" t="s">
        <v>1203</v>
      </c>
      <c r="C855">
        <v>8967</v>
      </c>
      <c r="D855" t="s">
        <v>1215</v>
      </c>
      <c r="E855">
        <v>0</v>
      </c>
      <c r="F855" t="s">
        <v>921</v>
      </c>
      <c r="G855">
        <v>916224603898</v>
      </c>
      <c r="H855">
        <v>10000</v>
      </c>
      <c r="I855">
        <v>0</v>
      </c>
      <c r="J855" s="69"/>
      <c r="K855" t="s">
        <v>1626</v>
      </c>
    </row>
    <row r="856" spans="1:11" x14ac:dyDescent="0.25">
      <c r="A856" s="5" t="s">
        <v>1463</v>
      </c>
      <c r="B856" t="s">
        <v>1203</v>
      </c>
      <c r="C856">
        <v>8967</v>
      </c>
      <c r="D856" t="s">
        <v>1204</v>
      </c>
      <c r="E856">
        <v>0</v>
      </c>
      <c r="F856" t="s">
        <v>65</v>
      </c>
      <c r="G856" t="s">
        <v>1630</v>
      </c>
      <c r="H856">
        <v>10000</v>
      </c>
      <c r="I856">
        <v>0</v>
      </c>
      <c r="J856" s="69"/>
      <c r="K856" t="s">
        <v>1626</v>
      </c>
    </row>
    <row r="857" spans="1:11" x14ac:dyDescent="0.25">
      <c r="A857" s="5" t="s">
        <v>1463</v>
      </c>
      <c r="B857" t="s">
        <v>1203</v>
      </c>
      <c r="C857">
        <v>8967</v>
      </c>
      <c r="D857" t="s">
        <v>1205</v>
      </c>
      <c r="E857">
        <v>0</v>
      </c>
      <c r="F857" t="s">
        <v>68</v>
      </c>
      <c r="G857" t="s">
        <v>1632</v>
      </c>
      <c r="H857">
        <v>10000</v>
      </c>
      <c r="I857">
        <v>0</v>
      </c>
      <c r="J857" s="69"/>
      <c r="K857" t="s">
        <v>1626</v>
      </c>
    </row>
    <row r="858" spans="1:11" x14ac:dyDescent="0.25">
      <c r="A858" s="5" t="s">
        <v>1463</v>
      </c>
      <c r="B858" t="s">
        <v>1203</v>
      </c>
      <c r="C858">
        <v>8967</v>
      </c>
      <c r="D858" t="s">
        <v>1206</v>
      </c>
      <c r="E858">
        <v>0</v>
      </c>
      <c r="F858" t="s">
        <v>70</v>
      </c>
      <c r="G858" t="s">
        <v>1633</v>
      </c>
      <c r="H858">
        <v>10000</v>
      </c>
      <c r="I858">
        <v>0</v>
      </c>
      <c r="J858" s="69"/>
      <c r="K858" t="s">
        <v>1626</v>
      </c>
    </row>
    <row r="859" spans="1:11" x14ac:dyDescent="0.25">
      <c r="A859" s="5" t="s">
        <v>1463</v>
      </c>
      <c r="B859" t="s">
        <v>1203</v>
      </c>
      <c r="C859">
        <v>8967</v>
      </c>
      <c r="D859" t="s">
        <v>1217</v>
      </c>
      <c r="E859">
        <v>0</v>
      </c>
      <c r="F859" t="s">
        <v>90</v>
      </c>
      <c r="G859">
        <v>1016240000069</v>
      </c>
      <c r="H859">
        <v>10000</v>
      </c>
      <c r="I859">
        <v>0</v>
      </c>
      <c r="J859" s="69"/>
      <c r="K859" t="s">
        <v>1626</v>
      </c>
    </row>
    <row r="860" spans="1:11" x14ac:dyDescent="0.25">
      <c r="A860" s="5" t="s">
        <v>1463</v>
      </c>
      <c r="B860" t="s">
        <v>1203</v>
      </c>
      <c r="C860">
        <v>8967</v>
      </c>
      <c r="D860" t="s">
        <v>1218</v>
      </c>
      <c r="E860">
        <v>0</v>
      </c>
      <c r="F860" t="s">
        <v>92</v>
      </c>
      <c r="G860">
        <v>100137419474</v>
      </c>
      <c r="H860">
        <v>10000</v>
      </c>
      <c r="I860">
        <v>0</v>
      </c>
      <c r="J860" s="69"/>
      <c r="K860" t="s">
        <v>1626</v>
      </c>
    </row>
    <row r="861" spans="1:11" x14ac:dyDescent="0.25">
      <c r="A861" s="5" t="s">
        <v>1463</v>
      </c>
      <c r="B861" t="s">
        <v>1203</v>
      </c>
      <c r="C861">
        <v>8967</v>
      </c>
      <c r="D861" t="s">
        <v>1210</v>
      </c>
      <c r="E861">
        <v>0</v>
      </c>
      <c r="F861" t="s">
        <v>76</v>
      </c>
      <c r="G861" t="s">
        <v>1634</v>
      </c>
      <c r="H861">
        <v>10000</v>
      </c>
      <c r="I861">
        <v>0</v>
      </c>
      <c r="J861" s="69"/>
      <c r="K861" t="s">
        <v>1626</v>
      </c>
    </row>
    <row r="862" spans="1:11" x14ac:dyDescent="0.25">
      <c r="A862" s="5" t="s">
        <v>1463</v>
      </c>
      <c r="B862" t="s">
        <v>1203</v>
      </c>
      <c r="C862">
        <v>8967</v>
      </c>
      <c r="D862" t="s">
        <v>1216</v>
      </c>
      <c r="E862">
        <v>0</v>
      </c>
      <c r="F862" t="s">
        <v>88</v>
      </c>
      <c r="G862" t="s">
        <v>1635</v>
      </c>
      <c r="H862">
        <v>10000</v>
      </c>
      <c r="I862">
        <v>0</v>
      </c>
      <c r="J862" s="69"/>
      <c r="K862" t="s">
        <v>1626</v>
      </c>
    </row>
    <row r="863" spans="1:11" x14ac:dyDescent="0.25">
      <c r="A863" s="5" t="s">
        <v>1463</v>
      </c>
      <c r="B863" t="s">
        <v>1203</v>
      </c>
      <c r="C863">
        <v>18706</v>
      </c>
      <c r="D863" t="s">
        <v>1220</v>
      </c>
      <c r="E863">
        <v>0</v>
      </c>
      <c r="F863" t="s">
        <v>1221</v>
      </c>
      <c r="G863" t="s">
        <v>1626</v>
      </c>
      <c r="H863">
        <v>20000</v>
      </c>
      <c r="I863">
        <v>0</v>
      </c>
      <c r="J863" s="69"/>
      <c r="K863" t="s">
        <v>1626</v>
      </c>
    </row>
    <row r="864" spans="1:11" x14ac:dyDescent="0.25">
      <c r="A864" s="5" t="s">
        <v>1463</v>
      </c>
      <c r="B864" t="s">
        <v>1203</v>
      </c>
      <c r="C864">
        <v>8967</v>
      </c>
      <c r="D864" t="s">
        <v>1219</v>
      </c>
      <c r="E864">
        <v>0</v>
      </c>
      <c r="F864" t="s">
        <v>94</v>
      </c>
      <c r="G864">
        <v>56240051</v>
      </c>
      <c r="H864">
        <v>10000</v>
      </c>
      <c r="I864">
        <v>0</v>
      </c>
      <c r="J864" s="69"/>
      <c r="K864" t="s">
        <v>1626</v>
      </c>
    </row>
    <row r="865" spans="1:11" x14ac:dyDescent="0.25">
      <c r="A865" s="5" t="s">
        <v>1463</v>
      </c>
      <c r="B865" t="s">
        <v>1222</v>
      </c>
      <c r="C865">
        <v>18636</v>
      </c>
      <c r="D865" t="s">
        <v>1223</v>
      </c>
      <c r="E865">
        <v>0</v>
      </c>
      <c r="F865" t="s">
        <v>1224</v>
      </c>
      <c r="G865" t="s">
        <v>1626</v>
      </c>
      <c r="H865">
        <v>20000</v>
      </c>
      <c r="I865">
        <v>0</v>
      </c>
      <c r="J865" s="69"/>
      <c r="K865" t="s">
        <v>1626</v>
      </c>
    </row>
    <row r="866" spans="1:11" x14ac:dyDescent="0.25">
      <c r="A866" s="5" t="s">
        <v>1463</v>
      </c>
      <c r="B866" t="s">
        <v>1222</v>
      </c>
      <c r="C866">
        <v>8412</v>
      </c>
      <c r="D866" t="s">
        <v>1204</v>
      </c>
      <c r="E866">
        <v>0</v>
      </c>
      <c r="F866" t="s">
        <v>65</v>
      </c>
      <c r="G866" t="s">
        <v>1643</v>
      </c>
      <c r="H866">
        <v>10000</v>
      </c>
      <c r="I866">
        <v>0</v>
      </c>
      <c r="J866" s="69"/>
      <c r="K866" t="s">
        <v>1626</v>
      </c>
    </row>
    <row r="867" spans="1:11" x14ac:dyDescent="0.25">
      <c r="A867" s="5" t="s">
        <v>1463</v>
      </c>
      <c r="B867" t="s">
        <v>1222</v>
      </c>
      <c r="C867">
        <v>8412</v>
      </c>
      <c r="D867" t="s">
        <v>1205</v>
      </c>
      <c r="E867">
        <v>0</v>
      </c>
      <c r="F867" t="s">
        <v>68</v>
      </c>
      <c r="G867" t="s">
        <v>1644</v>
      </c>
      <c r="H867">
        <v>10000</v>
      </c>
      <c r="I867">
        <v>0</v>
      </c>
      <c r="J867" s="69"/>
      <c r="K867" t="s">
        <v>1626</v>
      </c>
    </row>
    <row r="868" spans="1:11" x14ac:dyDescent="0.25">
      <c r="A868" s="5" t="s">
        <v>1463</v>
      </c>
      <c r="B868" t="s">
        <v>1222</v>
      </c>
      <c r="C868">
        <v>8412</v>
      </c>
      <c r="D868" t="s">
        <v>1206</v>
      </c>
      <c r="E868">
        <v>0</v>
      </c>
      <c r="F868" t="s">
        <v>70</v>
      </c>
      <c r="G868" t="s">
        <v>1645</v>
      </c>
      <c r="H868">
        <v>10000</v>
      </c>
      <c r="I868">
        <v>0</v>
      </c>
      <c r="J868" s="69"/>
      <c r="K868" t="s">
        <v>1626</v>
      </c>
    </row>
    <row r="869" spans="1:11" x14ac:dyDescent="0.25">
      <c r="A869" s="5" t="s">
        <v>1463</v>
      </c>
      <c r="B869" t="s">
        <v>1222</v>
      </c>
      <c r="C869">
        <v>8554</v>
      </c>
      <c r="D869" t="s">
        <v>1207</v>
      </c>
      <c r="E869">
        <v>0</v>
      </c>
      <c r="F869" t="s">
        <v>1208</v>
      </c>
      <c r="G869" t="s">
        <v>1642</v>
      </c>
      <c r="H869">
        <v>10000</v>
      </c>
      <c r="I869">
        <v>0</v>
      </c>
      <c r="J869" s="69"/>
      <c r="K869" t="s">
        <v>1626</v>
      </c>
    </row>
    <row r="870" spans="1:11" x14ac:dyDescent="0.25">
      <c r="A870" s="5" t="s">
        <v>1463</v>
      </c>
      <c r="B870" t="s">
        <v>1222</v>
      </c>
      <c r="C870">
        <v>8554</v>
      </c>
      <c r="D870" t="s">
        <v>1209</v>
      </c>
      <c r="E870">
        <v>0</v>
      </c>
      <c r="F870" t="s">
        <v>74</v>
      </c>
      <c r="G870">
        <v>1116224600537</v>
      </c>
      <c r="H870">
        <v>10000</v>
      </c>
      <c r="I870">
        <v>0</v>
      </c>
      <c r="J870" s="69"/>
      <c r="K870" t="s">
        <v>1626</v>
      </c>
    </row>
    <row r="871" spans="1:11" x14ac:dyDescent="0.25">
      <c r="A871" s="5" t="s">
        <v>1463</v>
      </c>
      <c r="B871" t="s">
        <v>1222</v>
      </c>
      <c r="C871">
        <v>8554</v>
      </c>
      <c r="D871" t="s">
        <v>1214</v>
      </c>
      <c r="E871">
        <v>0</v>
      </c>
      <c r="F871" t="s">
        <v>84</v>
      </c>
      <c r="G871">
        <v>1016224602811</v>
      </c>
      <c r="H871">
        <v>10000</v>
      </c>
      <c r="I871">
        <v>0</v>
      </c>
      <c r="J871" s="69"/>
      <c r="K871" t="s">
        <v>1626</v>
      </c>
    </row>
    <row r="872" spans="1:11" x14ac:dyDescent="0.25">
      <c r="A872" s="5" t="s">
        <v>1463</v>
      </c>
      <c r="B872" t="s">
        <v>1222</v>
      </c>
      <c r="C872">
        <v>8554</v>
      </c>
      <c r="D872" t="s">
        <v>1210</v>
      </c>
      <c r="E872">
        <v>0</v>
      </c>
      <c r="F872" t="s">
        <v>76</v>
      </c>
      <c r="G872">
        <v>1016224604789</v>
      </c>
      <c r="H872">
        <v>10000</v>
      </c>
      <c r="I872">
        <v>0</v>
      </c>
      <c r="J872" s="69"/>
      <c r="K872" t="s">
        <v>1626</v>
      </c>
    </row>
    <row r="873" spans="1:11" x14ac:dyDescent="0.25">
      <c r="A873" s="5" t="s">
        <v>1463</v>
      </c>
      <c r="B873" t="s">
        <v>1222</v>
      </c>
      <c r="C873">
        <v>8554</v>
      </c>
      <c r="D873" t="s">
        <v>1211</v>
      </c>
      <c r="E873">
        <v>0</v>
      </c>
      <c r="F873" t="s">
        <v>78</v>
      </c>
      <c r="G873">
        <v>1016224601393</v>
      </c>
      <c r="H873">
        <v>10000</v>
      </c>
      <c r="I873">
        <v>0</v>
      </c>
      <c r="J873" s="69"/>
      <c r="K873" t="s">
        <v>1626</v>
      </c>
    </row>
    <row r="874" spans="1:11" x14ac:dyDescent="0.25">
      <c r="A874" s="5" t="s">
        <v>1463</v>
      </c>
      <c r="B874" t="s">
        <v>1222</v>
      </c>
      <c r="C874">
        <v>8554</v>
      </c>
      <c r="D874" t="s">
        <v>1212</v>
      </c>
      <c r="E874">
        <v>0</v>
      </c>
      <c r="F874" t="s">
        <v>80</v>
      </c>
      <c r="G874" t="s">
        <v>1646</v>
      </c>
      <c r="H874">
        <v>10000</v>
      </c>
      <c r="I874">
        <v>0</v>
      </c>
      <c r="J874" s="69"/>
      <c r="K874" t="s">
        <v>1626</v>
      </c>
    </row>
    <row r="875" spans="1:11" x14ac:dyDescent="0.25">
      <c r="A875" s="5" t="s">
        <v>1463</v>
      </c>
      <c r="B875" t="s">
        <v>1222</v>
      </c>
      <c r="C875">
        <v>8554</v>
      </c>
      <c r="D875" t="s">
        <v>1213</v>
      </c>
      <c r="E875">
        <v>0</v>
      </c>
      <c r="F875" t="s">
        <v>82</v>
      </c>
      <c r="G875" t="s">
        <v>1647</v>
      </c>
      <c r="H875">
        <v>10000</v>
      </c>
      <c r="I875">
        <v>0</v>
      </c>
      <c r="J875" s="69"/>
      <c r="K875" t="s">
        <v>1626</v>
      </c>
    </row>
    <row r="876" spans="1:11" x14ac:dyDescent="0.25">
      <c r="A876" s="5" t="s">
        <v>1463</v>
      </c>
      <c r="B876" t="s">
        <v>1222</v>
      </c>
      <c r="C876">
        <v>8554</v>
      </c>
      <c r="D876" t="s">
        <v>1215</v>
      </c>
      <c r="E876">
        <v>0</v>
      </c>
      <c r="F876" t="s">
        <v>921</v>
      </c>
      <c r="G876">
        <v>916224603865</v>
      </c>
      <c r="H876">
        <v>10000</v>
      </c>
      <c r="I876">
        <v>0</v>
      </c>
      <c r="J876" s="69"/>
      <c r="K876" t="s">
        <v>1626</v>
      </c>
    </row>
    <row r="877" spans="1:11" x14ac:dyDescent="0.25">
      <c r="A877" s="5" t="s">
        <v>1463</v>
      </c>
      <c r="B877" t="s">
        <v>1222</v>
      </c>
      <c r="C877">
        <v>8554</v>
      </c>
      <c r="D877" t="s">
        <v>1216</v>
      </c>
      <c r="E877">
        <v>0</v>
      </c>
      <c r="F877" t="s">
        <v>88</v>
      </c>
      <c r="G877" t="s">
        <v>1648</v>
      </c>
      <c r="H877">
        <v>10000</v>
      </c>
      <c r="I877">
        <v>0</v>
      </c>
      <c r="J877" s="69"/>
      <c r="K877" t="s">
        <v>1626</v>
      </c>
    </row>
    <row r="878" spans="1:11" x14ac:dyDescent="0.25">
      <c r="A878" s="5" t="s">
        <v>1463</v>
      </c>
      <c r="B878" t="s">
        <v>1222</v>
      </c>
      <c r="C878">
        <v>8554</v>
      </c>
      <c r="D878" t="s">
        <v>1217</v>
      </c>
      <c r="E878">
        <v>0</v>
      </c>
      <c r="F878" t="s">
        <v>90</v>
      </c>
      <c r="G878">
        <v>1116240000011</v>
      </c>
      <c r="H878">
        <v>10000</v>
      </c>
      <c r="I878">
        <v>0</v>
      </c>
      <c r="J878" s="69"/>
      <c r="K878" t="s">
        <v>1626</v>
      </c>
    </row>
    <row r="879" spans="1:11" x14ac:dyDescent="0.25">
      <c r="A879" s="5" t="s">
        <v>1463</v>
      </c>
      <c r="B879" t="s">
        <v>1222</v>
      </c>
      <c r="C879">
        <v>8554</v>
      </c>
      <c r="D879" t="s">
        <v>1218</v>
      </c>
      <c r="E879">
        <v>0</v>
      </c>
      <c r="F879" t="s">
        <v>92</v>
      </c>
      <c r="G879">
        <v>90137418756</v>
      </c>
      <c r="H879">
        <v>10000</v>
      </c>
      <c r="I879">
        <v>0</v>
      </c>
      <c r="J879" s="69"/>
      <c r="K879" t="s">
        <v>1626</v>
      </c>
    </row>
    <row r="880" spans="1:11" x14ac:dyDescent="0.25">
      <c r="A880" s="5" t="s">
        <v>1463</v>
      </c>
      <c r="B880" t="s">
        <v>1222</v>
      </c>
      <c r="C880">
        <v>8554</v>
      </c>
      <c r="D880" t="s">
        <v>1219</v>
      </c>
      <c r="E880">
        <v>0</v>
      </c>
      <c r="F880" t="s">
        <v>94</v>
      </c>
      <c r="G880">
        <v>56240074</v>
      </c>
      <c r="H880">
        <v>10000</v>
      </c>
      <c r="I880">
        <v>0</v>
      </c>
      <c r="J880" s="69"/>
      <c r="K880" t="s">
        <v>1626</v>
      </c>
    </row>
    <row r="881" spans="1:11" x14ac:dyDescent="0.25">
      <c r="A881" s="5" t="s">
        <v>22</v>
      </c>
      <c r="B881" t="s">
        <v>1225</v>
      </c>
      <c r="C881">
        <v>4</v>
      </c>
      <c r="D881" t="s">
        <v>1265</v>
      </c>
      <c r="E881">
        <v>0</v>
      </c>
      <c r="F881" t="s">
        <v>1266</v>
      </c>
      <c r="G881" t="s">
        <v>1626</v>
      </c>
      <c r="H881">
        <v>182</v>
      </c>
      <c r="I881">
        <v>0</v>
      </c>
      <c r="J881" s="69">
        <v>46213</v>
      </c>
      <c r="K881" t="s">
        <v>1626</v>
      </c>
    </row>
    <row r="882" spans="1:11" x14ac:dyDescent="0.25">
      <c r="A882" s="5" t="s">
        <v>22</v>
      </c>
      <c r="B882" t="s">
        <v>1225</v>
      </c>
      <c r="C882">
        <v>4</v>
      </c>
      <c r="D882" t="s">
        <v>1274</v>
      </c>
      <c r="E882">
        <v>0</v>
      </c>
      <c r="F882" t="s">
        <v>229</v>
      </c>
      <c r="G882" t="s">
        <v>1626</v>
      </c>
      <c r="H882">
        <v>182</v>
      </c>
      <c r="I882">
        <v>0</v>
      </c>
      <c r="J882" s="69">
        <v>46213</v>
      </c>
      <c r="K882" t="s">
        <v>1626</v>
      </c>
    </row>
    <row r="883" spans="1:11" x14ac:dyDescent="0.25">
      <c r="A883" s="5" t="s">
        <v>22</v>
      </c>
      <c r="B883" t="s">
        <v>1225</v>
      </c>
      <c r="C883">
        <v>4</v>
      </c>
      <c r="D883" t="s">
        <v>1275</v>
      </c>
      <c r="E883">
        <v>0</v>
      </c>
      <c r="F883" t="s">
        <v>1276</v>
      </c>
      <c r="G883" t="s">
        <v>1667</v>
      </c>
      <c r="H883">
        <v>182</v>
      </c>
      <c r="I883">
        <v>0</v>
      </c>
      <c r="J883" s="69">
        <v>46213</v>
      </c>
      <c r="K883" t="s">
        <v>1626</v>
      </c>
    </row>
    <row r="884" spans="1:11" x14ac:dyDescent="0.25">
      <c r="A884" s="5" t="s">
        <v>22</v>
      </c>
      <c r="B884" t="s">
        <v>1225</v>
      </c>
      <c r="C884">
        <v>11</v>
      </c>
      <c r="D884" t="s">
        <v>1226</v>
      </c>
      <c r="E884">
        <v>0</v>
      </c>
      <c r="F884" t="s">
        <v>1227</v>
      </c>
      <c r="G884" t="s">
        <v>1626</v>
      </c>
      <c r="H884">
        <v>30</v>
      </c>
      <c r="I884">
        <v>0</v>
      </c>
      <c r="J884" s="69">
        <v>46220</v>
      </c>
      <c r="K884" t="s">
        <v>1626</v>
      </c>
    </row>
    <row r="885" spans="1:11" x14ac:dyDescent="0.25">
      <c r="A885" s="5" t="s">
        <v>22</v>
      </c>
      <c r="B885" t="s">
        <v>1225</v>
      </c>
      <c r="C885">
        <v>11</v>
      </c>
      <c r="D885" t="s">
        <v>1228</v>
      </c>
      <c r="E885">
        <v>0</v>
      </c>
      <c r="F885" t="s">
        <v>1229</v>
      </c>
      <c r="G885" t="s">
        <v>1626</v>
      </c>
      <c r="H885">
        <v>30</v>
      </c>
      <c r="I885">
        <v>0</v>
      </c>
      <c r="J885" s="69">
        <v>46220</v>
      </c>
      <c r="K885" t="s">
        <v>1626</v>
      </c>
    </row>
    <row r="886" spans="1:11" x14ac:dyDescent="0.25">
      <c r="A886" s="5" t="s">
        <v>22</v>
      </c>
      <c r="B886" t="s">
        <v>1225</v>
      </c>
      <c r="C886">
        <v>11</v>
      </c>
      <c r="D886" t="s">
        <v>1230</v>
      </c>
      <c r="E886">
        <v>0</v>
      </c>
      <c r="F886" t="s">
        <v>1231</v>
      </c>
      <c r="G886" t="s">
        <v>1626</v>
      </c>
      <c r="H886">
        <v>30</v>
      </c>
      <c r="I886">
        <v>0</v>
      </c>
      <c r="J886" s="69">
        <v>46220</v>
      </c>
      <c r="K886" t="s">
        <v>1626</v>
      </c>
    </row>
    <row r="887" spans="1:11" x14ac:dyDescent="0.25">
      <c r="A887" s="5" t="s">
        <v>22</v>
      </c>
      <c r="B887" t="s">
        <v>1225</v>
      </c>
      <c r="C887">
        <v>15</v>
      </c>
      <c r="D887" t="s">
        <v>1318</v>
      </c>
      <c r="E887">
        <v>0</v>
      </c>
      <c r="F887" t="s">
        <v>1319</v>
      </c>
      <c r="G887" t="s">
        <v>1798</v>
      </c>
      <c r="H887">
        <v>364</v>
      </c>
      <c r="I887">
        <v>0</v>
      </c>
      <c r="J887" s="69">
        <v>46224</v>
      </c>
      <c r="K887" t="s">
        <v>1626</v>
      </c>
    </row>
    <row r="888" spans="1:11" x14ac:dyDescent="0.25">
      <c r="A888" s="5" t="s">
        <v>22</v>
      </c>
      <c r="B888" t="s">
        <v>1225</v>
      </c>
      <c r="C888">
        <v>15</v>
      </c>
      <c r="D888" t="s">
        <v>1329</v>
      </c>
      <c r="E888">
        <v>0</v>
      </c>
      <c r="F888" t="s">
        <v>350</v>
      </c>
      <c r="G888" t="s">
        <v>1626</v>
      </c>
      <c r="H888">
        <v>728</v>
      </c>
      <c r="I888">
        <v>63</v>
      </c>
      <c r="J888" s="69">
        <v>46224</v>
      </c>
      <c r="K888" t="s">
        <v>1626</v>
      </c>
    </row>
    <row r="889" spans="1:11" x14ac:dyDescent="0.25">
      <c r="A889" s="5" t="s">
        <v>22</v>
      </c>
      <c r="B889" t="s">
        <v>1225</v>
      </c>
      <c r="C889">
        <v>15</v>
      </c>
      <c r="D889" t="s">
        <v>1330</v>
      </c>
      <c r="E889">
        <v>0</v>
      </c>
      <c r="F889" t="s">
        <v>351</v>
      </c>
      <c r="G889" t="s">
        <v>1626</v>
      </c>
      <c r="H889">
        <v>728</v>
      </c>
      <c r="I889">
        <v>63</v>
      </c>
      <c r="J889" s="69">
        <v>46224</v>
      </c>
      <c r="K889" t="s">
        <v>1626</v>
      </c>
    </row>
    <row r="890" spans="1:11" x14ac:dyDescent="0.25">
      <c r="A890" s="5" t="s">
        <v>22</v>
      </c>
      <c r="B890" t="s">
        <v>1225</v>
      </c>
      <c r="C890">
        <v>15</v>
      </c>
      <c r="D890" t="s">
        <v>1331</v>
      </c>
      <c r="E890">
        <v>0</v>
      </c>
      <c r="F890" t="s">
        <v>352</v>
      </c>
      <c r="G890" t="s">
        <v>1626</v>
      </c>
      <c r="H890">
        <v>728</v>
      </c>
      <c r="I890">
        <v>63</v>
      </c>
      <c r="J890" s="69">
        <v>46224</v>
      </c>
      <c r="K890" t="s">
        <v>1626</v>
      </c>
    </row>
    <row r="891" spans="1:11" x14ac:dyDescent="0.25">
      <c r="A891" s="5" t="s">
        <v>22</v>
      </c>
      <c r="B891" t="s">
        <v>1225</v>
      </c>
      <c r="C891">
        <v>15</v>
      </c>
      <c r="D891" t="s">
        <v>1332</v>
      </c>
      <c r="E891">
        <v>0</v>
      </c>
      <c r="F891" t="s">
        <v>353</v>
      </c>
      <c r="G891" t="s">
        <v>1626</v>
      </c>
      <c r="H891">
        <v>728</v>
      </c>
      <c r="I891">
        <v>63</v>
      </c>
      <c r="J891" s="69">
        <v>46224</v>
      </c>
      <c r="K891" t="s">
        <v>1626</v>
      </c>
    </row>
    <row r="892" spans="1:11" x14ac:dyDescent="0.25">
      <c r="A892" s="5" t="s">
        <v>22</v>
      </c>
      <c r="B892" t="s">
        <v>1225</v>
      </c>
      <c r="C892">
        <v>15</v>
      </c>
      <c r="D892" t="s">
        <v>1285</v>
      </c>
      <c r="E892">
        <v>0</v>
      </c>
      <c r="F892" t="s">
        <v>259</v>
      </c>
      <c r="G892" t="s">
        <v>1626</v>
      </c>
      <c r="H892">
        <v>364</v>
      </c>
      <c r="I892">
        <v>0</v>
      </c>
      <c r="J892" s="69">
        <v>46224</v>
      </c>
      <c r="K892" t="s">
        <v>1626</v>
      </c>
    </row>
    <row r="893" spans="1:11" x14ac:dyDescent="0.25">
      <c r="A893" s="5" t="s">
        <v>22</v>
      </c>
      <c r="B893" t="s">
        <v>1225</v>
      </c>
      <c r="C893">
        <v>15</v>
      </c>
      <c r="D893" t="s">
        <v>1286</v>
      </c>
      <c r="E893">
        <v>0</v>
      </c>
      <c r="F893" t="s">
        <v>261</v>
      </c>
      <c r="G893" t="s">
        <v>1626</v>
      </c>
      <c r="H893">
        <v>364</v>
      </c>
      <c r="I893">
        <v>0</v>
      </c>
      <c r="J893" s="69">
        <v>46224</v>
      </c>
      <c r="K893" t="s">
        <v>1626</v>
      </c>
    </row>
    <row r="894" spans="1:11" x14ac:dyDescent="0.25">
      <c r="A894" s="5" t="s">
        <v>22</v>
      </c>
      <c r="B894" t="s">
        <v>1225</v>
      </c>
      <c r="C894">
        <v>15</v>
      </c>
      <c r="D894" t="s">
        <v>1345</v>
      </c>
      <c r="E894">
        <v>0</v>
      </c>
      <c r="F894" t="s">
        <v>1346</v>
      </c>
      <c r="G894" t="s">
        <v>1626</v>
      </c>
      <c r="H894">
        <v>728</v>
      </c>
      <c r="I894">
        <v>54</v>
      </c>
      <c r="J894" s="69">
        <v>46224</v>
      </c>
      <c r="K894" t="s">
        <v>1626</v>
      </c>
    </row>
    <row r="895" spans="1:11" x14ac:dyDescent="0.25">
      <c r="A895" s="5" t="s">
        <v>22</v>
      </c>
      <c r="B895" t="s">
        <v>1225</v>
      </c>
      <c r="C895">
        <v>15</v>
      </c>
      <c r="D895" t="s">
        <v>1281</v>
      </c>
      <c r="E895">
        <v>0</v>
      </c>
      <c r="F895" t="s">
        <v>1282</v>
      </c>
      <c r="G895" t="s">
        <v>1626</v>
      </c>
      <c r="H895">
        <v>728</v>
      </c>
      <c r="I895">
        <v>54</v>
      </c>
      <c r="J895" s="69">
        <v>46224</v>
      </c>
      <c r="K895" t="s">
        <v>1626</v>
      </c>
    </row>
    <row r="896" spans="1:11" x14ac:dyDescent="0.25">
      <c r="A896" s="5" t="s">
        <v>22</v>
      </c>
      <c r="B896" t="s">
        <v>1225</v>
      </c>
      <c r="C896">
        <v>15</v>
      </c>
      <c r="D896" t="s">
        <v>1297</v>
      </c>
      <c r="E896">
        <v>0</v>
      </c>
      <c r="F896" t="s">
        <v>1298</v>
      </c>
      <c r="G896" t="s">
        <v>1626</v>
      </c>
      <c r="H896">
        <v>364</v>
      </c>
      <c r="I896">
        <v>0</v>
      </c>
      <c r="J896" s="69">
        <v>46224</v>
      </c>
      <c r="K896" t="s">
        <v>1626</v>
      </c>
    </row>
    <row r="897" spans="1:11" x14ac:dyDescent="0.25">
      <c r="A897" s="5" t="s">
        <v>22</v>
      </c>
      <c r="B897" t="s">
        <v>1225</v>
      </c>
      <c r="C897">
        <v>15</v>
      </c>
      <c r="D897" t="s">
        <v>1312</v>
      </c>
      <c r="E897">
        <v>0</v>
      </c>
      <c r="F897" t="s">
        <v>267</v>
      </c>
      <c r="G897" t="s">
        <v>1626</v>
      </c>
      <c r="H897">
        <v>364</v>
      </c>
      <c r="I897">
        <v>0</v>
      </c>
      <c r="J897" s="69">
        <v>46224</v>
      </c>
      <c r="K897" t="s">
        <v>1626</v>
      </c>
    </row>
    <row r="898" spans="1:11" x14ac:dyDescent="0.25">
      <c r="A898" s="5" t="s">
        <v>22</v>
      </c>
      <c r="B898" t="s">
        <v>1225</v>
      </c>
      <c r="C898">
        <v>15</v>
      </c>
      <c r="D898" t="s">
        <v>1269</v>
      </c>
      <c r="E898">
        <v>0</v>
      </c>
      <c r="F898" t="s">
        <v>1270</v>
      </c>
      <c r="G898" t="s">
        <v>1626</v>
      </c>
      <c r="H898">
        <v>364</v>
      </c>
      <c r="I898">
        <v>0</v>
      </c>
      <c r="J898" s="69">
        <v>46224</v>
      </c>
      <c r="K898" t="s">
        <v>1626</v>
      </c>
    </row>
    <row r="899" spans="1:11" x14ac:dyDescent="0.25">
      <c r="A899" s="5" t="s">
        <v>22</v>
      </c>
      <c r="B899" t="s">
        <v>1225</v>
      </c>
      <c r="C899">
        <v>15</v>
      </c>
      <c r="D899" t="s">
        <v>1271</v>
      </c>
      <c r="E899">
        <v>0</v>
      </c>
      <c r="F899" t="s">
        <v>233</v>
      </c>
      <c r="G899">
        <v>57</v>
      </c>
      <c r="H899">
        <v>364</v>
      </c>
      <c r="I899">
        <v>0</v>
      </c>
      <c r="J899" s="69">
        <v>46224</v>
      </c>
      <c r="K899" t="s">
        <v>1626</v>
      </c>
    </row>
    <row r="900" spans="1:11" x14ac:dyDescent="0.25">
      <c r="A900" s="5" t="s">
        <v>22</v>
      </c>
      <c r="B900" t="s">
        <v>1225</v>
      </c>
      <c r="C900">
        <v>16</v>
      </c>
      <c r="D900" t="s">
        <v>1799</v>
      </c>
      <c r="E900">
        <v>0</v>
      </c>
      <c r="F900" t="s">
        <v>1259</v>
      </c>
      <c r="G900" t="s">
        <v>1626</v>
      </c>
      <c r="H900">
        <v>365</v>
      </c>
      <c r="I900">
        <v>0</v>
      </c>
      <c r="J900" s="69">
        <v>46225</v>
      </c>
      <c r="K900" t="s">
        <v>1626</v>
      </c>
    </row>
    <row r="901" spans="1:11" x14ac:dyDescent="0.25">
      <c r="A901" s="5" t="s">
        <v>22</v>
      </c>
      <c r="B901" t="s">
        <v>1225</v>
      </c>
      <c r="C901">
        <v>17</v>
      </c>
      <c r="D901" t="s">
        <v>1322</v>
      </c>
      <c r="E901">
        <v>0</v>
      </c>
      <c r="F901" t="s">
        <v>1323</v>
      </c>
      <c r="G901">
        <v>47073</v>
      </c>
      <c r="H901">
        <v>0</v>
      </c>
      <c r="I901">
        <v>0</v>
      </c>
      <c r="J901" s="69">
        <v>46226</v>
      </c>
      <c r="K901" t="s">
        <v>1626</v>
      </c>
    </row>
    <row r="902" spans="1:11" x14ac:dyDescent="0.25">
      <c r="A902" s="5" t="s">
        <v>1463</v>
      </c>
      <c r="B902" t="s">
        <v>1225</v>
      </c>
      <c r="C902">
        <v>21</v>
      </c>
      <c r="D902" t="s">
        <v>1235</v>
      </c>
      <c r="E902">
        <v>4</v>
      </c>
      <c r="F902" t="s">
        <v>1236</v>
      </c>
      <c r="G902" t="s">
        <v>1626</v>
      </c>
      <c r="H902">
        <v>28</v>
      </c>
      <c r="I902">
        <v>2006</v>
      </c>
      <c r="J902" s="69">
        <v>46230</v>
      </c>
      <c r="K902" t="s">
        <v>1626</v>
      </c>
    </row>
    <row r="903" spans="1:11" x14ac:dyDescent="0.25">
      <c r="A903" s="5" t="s">
        <v>1463</v>
      </c>
      <c r="B903" t="s">
        <v>1225</v>
      </c>
      <c r="C903">
        <v>21</v>
      </c>
      <c r="D903" t="s">
        <v>1235</v>
      </c>
      <c r="E903">
        <v>5</v>
      </c>
      <c r="F903" t="s">
        <v>1796</v>
      </c>
      <c r="G903" t="s">
        <v>1626</v>
      </c>
      <c r="H903">
        <v>28</v>
      </c>
      <c r="I903">
        <v>146</v>
      </c>
      <c r="J903" s="69">
        <v>46230</v>
      </c>
      <c r="K903" t="s">
        <v>1626</v>
      </c>
    </row>
    <row r="904" spans="1:11" x14ac:dyDescent="0.25">
      <c r="A904" s="5" t="s">
        <v>1463</v>
      </c>
      <c r="B904" t="s">
        <v>1225</v>
      </c>
      <c r="C904">
        <v>21</v>
      </c>
      <c r="D904" t="s">
        <v>1232</v>
      </c>
      <c r="E904">
        <v>179</v>
      </c>
      <c r="F904" t="s">
        <v>1797</v>
      </c>
      <c r="G904" t="s">
        <v>1626</v>
      </c>
      <c r="H904">
        <v>75</v>
      </c>
      <c r="I904">
        <v>709</v>
      </c>
      <c r="J904" s="69">
        <v>46230</v>
      </c>
      <c r="K904" t="s">
        <v>1626</v>
      </c>
    </row>
    <row r="905" spans="1:11" x14ac:dyDescent="0.25">
      <c r="A905" s="5" t="s">
        <v>22</v>
      </c>
      <c r="B905" t="s">
        <v>1225</v>
      </c>
      <c r="C905">
        <v>21</v>
      </c>
      <c r="D905" t="s">
        <v>1233</v>
      </c>
      <c r="E905">
        <v>0</v>
      </c>
      <c r="F905" t="s">
        <v>1234</v>
      </c>
      <c r="G905" t="s">
        <v>1626</v>
      </c>
      <c r="H905">
        <v>28</v>
      </c>
      <c r="I905">
        <v>0</v>
      </c>
      <c r="J905" s="69">
        <v>46230</v>
      </c>
      <c r="K905" t="s">
        <v>1626</v>
      </c>
    </row>
    <row r="906" spans="1:11" x14ac:dyDescent="0.25">
      <c r="A906" s="5" t="s">
        <v>22</v>
      </c>
      <c r="B906" t="s">
        <v>1225</v>
      </c>
      <c r="C906">
        <v>23</v>
      </c>
      <c r="D906" t="s">
        <v>1293</v>
      </c>
      <c r="E906">
        <v>0</v>
      </c>
      <c r="F906" t="s">
        <v>1294</v>
      </c>
      <c r="G906" t="s">
        <v>1626</v>
      </c>
      <c r="H906">
        <v>364</v>
      </c>
      <c r="I906">
        <v>0</v>
      </c>
      <c r="J906" s="69">
        <v>46232</v>
      </c>
      <c r="K906" t="s">
        <v>1626</v>
      </c>
    </row>
    <row r="907" spans="1:11" x14ac:dyDescent="0.25">
      <c r="A907" s="5" t="s">
        <v>22</v>
      </c>
      <c r="B907" t="s">
        <v>1225</v>
      </c>
      <c r="C907">
        <v>24</v>
      </c>
      <c r="D907" t="s">
        <v>1295</v>
      </c>
      <c r="E907">
        <v>0</v>
      </c>
      <c r="F907" t="s">
        <v>263</v>
      </c>
      <c r="G907" t="s">
        <v>1626</v>
      </c>
      <c r="H907">
        <v>364</v>
      </c>
      <c r="I907">
        <v>0</v>
      </c>
      <c r="J907" s="69">
        <v>46233</v>
      </c>
      <c r="K907" t="s">
        <v>1626</v>
      </c>
    </row>
    <row r="908" spans="1:11" x14ac:dyDescent="0.25">
      <c r="A908" s="5" t="s">
        <v>22</v>
      </c>
      <c r="B908" t="s">
        <v>1225</v>
      </c>
      <c r="C908">
        <v>24</v>
      </c>
      <c r="D908" t="s">
        <v>1296</v>
      </c>
      <c r="E908">
        <v>0</v>
      </c>
      <c r="F908" t="s">
        <v>265</v>
      </c>
      <c r="G908" t="s">
        <v>1626</v>
      </c>
      <c r="H908">
        <v>364</v>
      </c>
      <c r="I908">
        <v>0</v>
      </c>
      <c r="J908" s="69">
        <v>46233</v>
      </c>
      <c r="K908" t="s">
        <v>1626</v>
      </c>
    </row>
    <row r="909" spans="1:11" x14ac:dyDescent="0.25">
      <c r="A909" s="5" t="s">
        <v>22</v>
      </c>
      <c r="B909" t="s">
        <v>1225</v>
      </c>
      <c r="C909">
        <v>24</v>
      </c>
      <c r="D909" t="s">
        <v>1835</v>
      </c>
      <c r="E909">
        <v>0</v>
      </c>
      <c r="F909" t="s">
        <v>1836</v>
      </c>
      <c r="G909" t="s">
        <v>1654</v>
      </c>
      <c r="H909">
        <v>30</v>
      </c>
      <c r="I909">
        <v>0</v>
      </c>
      <c r="J909" s="69">
        <v>46233</v>
      </c>
      <c r="K909" t="s">
        <v>1626</v>
      </c>
    </row>
    <row r="910" spans="1:11" x14ac:dyDescent="0.25">
      <c r="A910" s="5" t="s">
        <v>22</v>
      </c>
      <c r="B910" t="s">
        <v>1225</v>
      </c>
      <c r="C910">
        <v>31</v>
      </c>
      <c r="D910" t="s">
        <v>1287</v>
      </c>
      <c r="E910">
        <v>0</v>
      </c>
      <c r="F910" t="s">
        <v>1288</v>
      </c>
      <c r="G910" t="s">
        <v>1626</v>
      </c>
      <c r="H910">
        <v>364</v>
      </c>
      <c r="I910">
        <v>0</v>
      </c>
      <c r="J910" s="69">
        <v>46240</v>
      </c>
      <c r="K910" t="s">
        <v>1626</v>
      </c>
    </row>
    <row r="911" spans="1:11" x14ac:dyDescent="0.25">
      <c r="A911" s="5" t="s">
        <v>22</v>
      </c>
      <c r="B911" t="s">
        <v>1225</v>
      </c>
      <c r="C911">
        <v>35</v>
      </c>
      <c r="D911" t="s">
        <v>1260</v>
      </c>
      <c r="E911">
        <v>0</v>
      </c>
      <c r="F911" t="s">
        <v>1261</v>
      </c>
      <c r="G911" t="s">
        <v>1800</v>
      </c>
      <c r="H911">
        <v>182</v>
      </c>
      <c r="I911">
        <v>0</v>
      </c>
      <c r="J911" s="69">
        <v>46244</v>
      </c>
      <c r="K911" t="s">
        <v>1626</v>
      </c>
    </row>
    <row r="912" spans="1:11" x14ac:dyDescent="0.25">
      <c r="A912" s="5" t="s">
        <v>22</v>
      </c>
      <c r="B912" t="s">
        <v>1225</v>
      </c>
      <c r="C912">
        <v>36</v>
      </c>
      <c r="D912" t="s">
        <v>1252</v>
      </c>
      <c r="E912">
        <v>0</v>
      </c>
      <c r="F912" t="s">
        <v>206</v>
      </c>
      <c r="G912" t="s">
        <v>1626</v>
      </c>
      <c r="H912">
        <v>91</v>
      </c>
      <c r="I912">
        <v>0</v>
      </c>
      <c r="J912" s="69">
        <v>46245</v>
      </c>
      <c r="K912" t="s">
        <v>1626</v>
      </c>
    </row>
    <row r="913" spans="1:11" x14ac:dyDescent="0.25">
      <c r="A913" s="5" t="s">
        <v>22</v>
      </c>
      <c r="B913" t="s">
        <v>1225</v>
      </c>
      <c r="C913">
        <v>36</v>
      </c>
      <c r="D913" t="s">
        <v>1256</v>
      </c>
      <c r="E913">
        <v>0</v>
      </c>
      <c r="F913" t="s">
        <v>1257</v>
      </c>
      <c r="G913" t="s">
        <v>1626</v>
      </c>
      <c r="H913">
        <v>182</v>
      </c>
      <c r="I913">
        <v>0</v>
      </c>
      <c r="J913" s="69">
        <v>46245</v>
      </c>
      <c r="K913" t="s">
        <v>1626</v>
      </c>
    </row>
    <row r="914" spans="1:11" x14ac:dyDescent="0.25">
      <c r="A914" s="5" t="s">
        <v>22</v>
      </c>
      <c r="B914" t="s">
        <v>1225</v>
      </c>
      <c r="C914">
        <v>36</v>
      </c>
      <c r="D914" t="s">
        <v>1917</v>
      </c>
      <c r="E914">
        <v>0</v>
      </c>
      <c r="F914" t="s">
        <v>1908</v>
      </c>
      <c r="G914" t="s">
        <v>1654</v>
      </c>
      <c r="H914">
        <v>90</v>
      </c>
      <c r="I914">
        <v>0</v>
      </c>
      <c r="J914" s="69">
        <v>46245</v>
      </c>
      <c r="K914" t="s">
        <v>1626</v>
      </c>
    </row>
    <row r="915" spans="1:11" x14ac:dyDescent="0.25">
      <c r="A915" s="5" t="s">
        <v>22</v>
      </c>
      <c r="B915" t="s">
        <v>1225</v>
      </c>
      <c r="C915">
        <v>37</v>
      </c>
      <c r="D915" t="s">
        <v>1244</v>
      </c>
      <c r="E915">
        <v>0</v>
      </c>
      <c r="F915" t="s">
        <v>1245</v>
      </c>
      <c r="G915">
        <v>2581</v>
      </c>
      <c r="H915">
        <v>0</v>
      </c>
      <c r="I915">
        <v>0</v>
      </c>
      <c r="J915" s="69">
        <v>46246</v>
      </c>
      <c r="K915" t="s">
        <v>1626</v>
      </c>
    </row>
    <row r="916" spans="1:11" x14ac:dyDescent="0.25">
      <c r="A916" s="5" t="s">
        <v>22</v>
      </c>
      <c r="B916" t="s">
        <v>1225</v>
      </c>
      <c r="C916">
        <v>45</v>
      </c>
      <c r="D916" t="s">
        <v>1289</v>
      </c>
      <c r="E916">
        <v>0</v>
      </c>
      <c r="F916" t="s">
        <v>1290</v>
      </c>
      <c r="G916" t="s">
        <v>1626</v>
      </c>
      <c r="H916">
        <v>364</v>
      </c>
      <c r="I916">
        <v>0</v>
      </c>
      <c r="J916" s="69">
        <v>46254</v>
      </c>
      <c r="K916" t="s">
        <v>1626</v>
      </c>
    </row>
    <row r="917" spans="1:11" x14ac:dyDescent="0.25">
      <c r="A917" s="5" t="s">
        <v>22</v>
      </c>
      <c r="B917" t="s">
        <v>1225</v>
      </c>
      <c r="C917">
        <v>45</v>
      </c>
      <c r="D917" t="s">
        <v>1291</v>
      </c>
      <c r="E917">
        <v>0</v>
      </c>
      <c r="F917" t="s">
        <v>1292</v>
      </c>
      <c r="G917" t="s">
        <v>1626</v>
      </c>
      <c r="H917">
        <v>364</v>
      </c>
      <c r="I917">
        <v>0</v>
      </c>
      <c r="J917" s="69">
        <v>46254</v>
      </c>
      <c r="K917" t="s">
        <v>1626</v>
      </c>
    </row>
    <row r="918" spans="1:11" x14ac:dyDescent="0.25">
      <c r="A918" s="5" t="s">
        <v>22</v>
      </c>
      <c r="B918" t="s">
        <v>1225</v>
      </c>
      <c r="C918">
        <v>45</v>
      </c>
      <c r="D918" t="s">
        <v>1302</v>
      </c>
      <c r="E918">
        <v>0</v>
      </c>
      <c r="F918" t="s">
        <v>1303</v>
      </c>
      <c r="G918" t="s">
        <v>1801</v>
      </c>
      <c r="H918">
        <v>364</v>
      </c>
      <c r="I918">
        <v>0</v>
      </c>
      <c r="J918" s="69">
        <v>46254</v>
      </c>
      <c r="K918" t="s">
        <v>1626</v>
      </c>
    </row>
    <row r="919" spans="1:11" x14ac:dyDescent="0.25">
      <c r="A919" s="5" t="s">
        <v>22</v>
      </c>
      <c r="B919" t="s">
        <v>1225</v>
      </c>
      <c r="C919">
        <v>45</v>
      </c>
      <c r="D919" t="s">
        <v>1262</v>
      </c>
      <c r="E919">
        <v>0</v>
      </c>
      <c r="F919" t="s">
        <v>1263</v>
      </c>
      <c r="G919">
        <v>201905355</v>
      </c>
      <c r="H919">
        <v>182</v>
      </c>
      <c r="I919">
        <v>0</v>
      </c>
      <c r="J919" s="69">
        <v>46254</v>
      </c>
      <c r="K919" t="s">
        <v>1626</v>
      </c>
    </row>
    <row r="920" spans="1:11" x14ac:dyDescent="0.25">
      <c r="A920" s="5" t="s">
        <v>22</v>
      </c>
      <c r="B920" t="s">
        <v>1225</v>
      </c>
      <c r="C920">
        <v>53</v>
      </c>
      <c r="D920" t="s">
        <v>1240</v>
      </c>
      <c r="E920">
        <v>0</v>
      </c>
      <c r="F920" t="s">
        <v>1241</v>
      </c>
      <c r="G920">
        <v>2167</v>
      </c>
      <c r="H920">
        <v>0</v>
      </c>
      <c r="I920">
        <v>0</v>
      </c>
      <c r="J920" s="69">
        <v>46262</v>
      </c>
      <c r="K920" t="s">
        <v>1626</v>
      </c>
    </row>
    <row r="921" spans="1:11" x14ac:dyDescent="0.25">
      <c r="A921" s="5" t="s">
        <v>22</v>
      </c>
      <c r="B921" t="s">
        <v>1225</v>
      </c>
      <c r="C921">
        <v>54</v>
      </c>
      <c r="D921" t="s">
        <v>1918</v>
      </c>
      <c r="E921">
        <v>0</v>
      </c>
      <c r="F921" t="s">
        <v>1919</v>
      </c>
      <c r="G921" t="s">
        <v>1883</v>
      </c>
      <c r="H921">
        <v>180</v>
      </c>
      <c r="I921">
        <v>0</v>
      </c>
      <c r="J921" s="69">
        <v>46263</v>
      </c>
      <c r="K921" t="s">
        <v>1626</v>
      </c>
    </row>
    <row r="922" spans="1:11" x14ac:dyDescent="0.25">
      <c r="A922" s="5" t="s">
        <v>22</v>
      </c>
      <c r="B922" t="s">
        <v>1225</v>
      </c>
      <c r="C922">
        <v>58</v>
      </c>
      <c r="D922" t="s">
        <v>1277</v>
      </c>
      <c r="E922">
        <v>0</v>
      </c>
      <c r="F922" t="s">
        <v>1278</v>
      </c>
      <c r="G922" t="s">
        <v>1626</v>
      </c>
      <c r="H922">
        <v>180</v>
      </c>
      <c r="I922">
        <v>0</v>
      </c>
      <c r="J922" s="69">
        <v>46267</v>
      </c>
      <c r="K922" t="s">
        <v>1626</v>
      </c>
    </row>
    <row r="923" spans="1:11" x14ac:dyDescent="0.25">
      <c r="A923" s="5" t="s">
        <v>22</v>
      </c>
      <c r="B923" t="s">
        <v>1225</v>
      </c>
      <c r="C923">
        <v>58</v>
      </c>
      <c r="D923" t="s">
        <v>1279</v>
      </c>
      <c r="E923">
        <v>0</v>
      </c>
      <c r="F923" t="s">
        <v>1280</v>
      </c>
      <c r="G923" t="s">
        <v>1626</v>
      </c>
      <c r="H923">
        <v>180</v>
      </c>
      <c r="I923">
        <v>0</v>
      </c>
      <c r="J923" s="69">
        <v>46267</v>
      </c>
      <c r="K923" t="s">
        <v>1626</v>
      </c>
    </row>
    <row r="924" spans="1:11" x14ac:dyDescent="0.25">
      <c r="A924" s="5" t="s">
        <v>22</v>
      </c>
      <c r="B924" t="s">
        <v>1225</v>
      </c>
      <c r="C924">
        <v>65</v>
      </c>
      <c r="D924" t="s">
        <v>1308</v>
      </c>
      <c r="E924">
        <v>0</v>
      </c>
      <c r="F924" t="s">
        <v>1309</v>
      </c>
      <c r="G924" t="s">
        <v>1626</v>
      </c>
      <c r="H924">
        <v>364</v>
      </c>
      <c r="I924">
        <v>0</v>
      </c>
      <c r="J924" s="69">
        <v>46274</v>
      </c>
      <c r="K924" t="s">
        <v>1626</v>
      </c>
    </row>
    <row r="925" spans="1:11" x14ac:dyDescent="0.25">
      <c r="A925" s="5" t="s">
        <v>22</v>
      </c>
      <c r="B925" t="s">
        <v>1225</v>
      </c>
      <c r="C925">
        <v>74</v>
      </c>
      <c r="D925" t="s">
        <v>1272</v>
      </c>
      <c r="E925">
        <v>0</v>
      </c>
      <c r="F925" t="s">
        <v>1273</v>
      </c>
      <c r="G925" t="s">
        <v>1626</v>
      </c>
      <c r="H925">
        <v>182</v>
      </c>
      <c r="I925">
        <v>0</v>
      </c>
      <c r="J925" s="69">
        <v>46283</v>
      </c>
      <c r="K925" t="s">
        <v>1626</v>
      </c>
    </row>
    <row r="926" spans="1:11" x14ac:dyDescent="0.25">
      <c r="A926" s="5" t="s">
        <v>22</v>
      </c>
      <c r="B926" t="s">
        <v>1225</v>
      </c>
      <c r="C926">
        <v>84</v>
      </c>
      <c r="D926" t="s">
        <v>1250</v>
      </c>
      <c r="E926">
        <v>0</v>
      </c>
      <c r="F926" t="s">
        <v>1251</v>
      </c>
      <c r="G926" t="s">
        <v>1628</v>
      </c>
      <c r="H926">
        <v>90</v>
      </c>
      <c r="I926">
        <v>0</v>
      </c>
      <c r="J926" s="69">
        <v>46293</v>
      </c>
      <c r="K926" t="s">
        <v>1626</v>
      </c>
    </row>
    <row r="927" spans="1:11" x14ac:dyDescent="0.25">
      <c r="A927" s="5" t="s">
        <v>22</v>
      </c>
      <c r="B927" t="s">
        <v>1225</v>
      </c>
      <c r="C927">
        <v>84</v>
      </c>
      <c r="D927" t="s">
        <v>1248</v>
      </c>
      <c r="E927">
        <v>0</v>
      </c>
      <c r="F927" t="s">
        <v>1249</v>
      </c>
      <c r="G927" t="s">
        <v>1626</v>
      </c>
      <c r="H927">
        <v>90</v>
      </c>
      <c r="I927">
        <v>0</v>
      </c>
      <c r="J927" s="69">
        <v>46293</v>
      </c>
      <c r="K927" t="s">
        <v>1626</v>
      </c>
    </row>
    <row r="928" spans="1:11" x14ac:dyDescent="0.25">
      <c r="A928" s="5" t="s">
        <v>22</v>
      </c>
      <c r="B928" t="s">
        <v>1225</v>
      </c>
      <c r="C928">
        <v>84</v>
      </c>
      <c r="D928" t="s">
        <v>1250</v>
      </c>
      <c r="E928">
        <v>0</v>
      </c>
      <c r="F928" t="s">
        <v>1251</v>
      </c>
      <c r="G928" t="s">
        <v>1642</v>
      </c>
      <c r="H928">
        <v>90</v>
      </c>
      <c r="I928">
        <v>0</v>
      </c>
      <c r="J928" s="69">
        <v>46293</v>
      </c>
      <c r="K928" t="s">
        <v>1626</v>
      </c>
    </row>
    <row r="929" spans="1:11" x14ac:dyDescent="0.25">
      <c r="A929" s="5" t="s">
        <v>22</v>
      </c>
      <c r="B929" t="s">
        <v>1225</v>
      </c>
      <c r="C929">
        <v>85</v>
      </c>
      <c r="D929" t="s">
        <v>1253</v>
      </c>
      <c r="E929">
        <v>0</v>
      </c>
      <c r="F929" t="s">
        <v>208</v>
      </c>
      <c r="G929" t="s">
        <v>1626</v>
      </c>
      <c r="H929">
        <v>91</v>
      </c>
      <c r="I929">
        <v>0</v>
      </c>
      <c r="J929" s="69">
        <v>46294</v>
      </c>
      <c r="K929" t="s">
        <v>1626</v>
      </c>
    </row>
    <row r="930" spans="1:11" x14ac:dyDescent="0.25">
      <c r="A930" s="5" t="s">
        <v>22</v>
      </c>
      <c r="B930" t="s">
        <v>1225</v>
      </c>
      <c r="C930">
        <v>85</v>
      </c>
      <c r="D930" t="s">
        <v>1254</v>
      </c>
      <c r="E930">
        <v>0</v>
      </c>
      <c r="F930" t="s">
        <v>1255</v>
      </c>
      <c r="G930" t="s">
        <v>1667</v>
      </c>
      <c r="H930">
        <v>728</v>
      </c>
      <c r="I930">
        <v>0</v>
      </c>
      <c r="J930" s="69">
        <v>46294</v>
      </c>
      <c r="K930" t="s">
        <v>1626</v>
      </c>
    </row>
    <row r="931" spans="1:11" x14ac:dyDescent="0.25">
      <c r="A931" s="5" t="s">
        <v>22</v>
      </c>
      <c r="B931" t="s">
        <v>1225</v>
      </c>
      <c r="C931">
        <v>98</v>
      </c>
      <c r="D931" t="s">
        <v>1238</v>
      </c>
      <c r="E931">
        <v>0</v>
      </c>
      <c r="F931" t="s">
        <v>1239</v>
      </c>
      <c r="G931" t="s">
        <v>1626</v>
      </c>
      <c r="H931">
        <v>365</v>
      </c>
      <c r="I931">
        <v>0</v>
      </c>
      <c r="J931" s="69">
        <v>46307</v>
      </c>
      <c r="K931" t="s">
        <v>1626</v>
      </c>
    </row>
    <row r="932" spans="1:11" x14ac:dyDescent="0.25">
      <c r="A932" s="5" t="s">
        <v>22</v>
      </c>
      <c r="B932" t="s">
        <v>1225</v>
      </c>
      <c r="C932">
        <v>106</v>
      </c>
      <c r="D932" t="s">
        <v>1314</v>
      </c>
      <c r="E932">
        <v>0</v>
      </c>
      <c r="F932" t="s">
        <v>1315</v>
      </c>
      <c r="G932" t="s">
        <v>1626</v>
      </c>
      <c r="H932">
        <v>182</v>
      </c>
      <c r="I932">
        <v>0</v>
      </c>
      <c r="J932" s="69">
        <v>46315</v>
      </c>
      <c r="K932" t="s">
        <v>1626</v>
      </c>
    </row>
    <row r="933" spans="1:11" x14ac:dyDescent="0.25">
      <c r="A933" s="5" t="s">
        <v>22</v>
      </c>
      <c r="B933" t="s">
        <v>1225</v>
      </c>
      <c r="C933">
        <v>107</v>
      </c>
      <c r="D933" t="s">
        <v>1595</v>
      </c>
      <c r="E933">
        <v>0</v>
      </c>
      <c r="F933" t="s">
        <v>1596</v>
      </c>
      <c r="G933">
        <v>414871</v>
      </c>
      <c r="H933">
        <v>364</v>
      </c>
      <c r="I933">
        <v>0</v>
      </c>
      <c r="J933" s="69">
        <v>46316</v>
      </c>
      <c r="K933" t="s">
        <v>1626</v>
      </c>
    </row>
    <row r="934" spans="1:11" x14ac:dyDescent="0.25">
      <c r="A934" s="5" t="s">
        <v>22</v>
      </c>
      <c r="B934" t="s">
        <v>1225</v>
      </c>
      <c r="C934">
        <v>108</v>
      </c>
      <c r="D934" t="s">
        <v>1310</v>
      </c>
      <c r="E934">
        <v>0</v>
      </c>
      <c r="F934" t="s">
        <v>1311</v>
      </c>
      <c r="G934" t="s">
        <v>1626</v>
      </c>
      <c r="H934">
        <v>364</v>
      </c>
      <c r="I934">
        <v>0</v>
      </c>
      <c r="J934" s="69">
        <v>46317</v>
      </c>
      <c r="K934" t="s">
        <v>1626</v>
      </c>
    </row>
    <row r="935" spans="1:11" x14ac:dyDescent="0.25">
      <c r="A935" s="5" t="s">
        <v>22</v>
      </c>
      <c r="B935" t="s">
        <v>1225</v>
      </c>
      <c r="C935">
        <v>114</v>
      </c>
      <c r="D935" t="s">
        <v>1600</v>
      </c>
      <c r="E935">
        <v>0</v>
      </c>
      <c r="F935" t="s">
        <v>1601</v>
      </c>
      <c r="G935">
        <v>516874</v>
      </c>
      <c r="H935">
        <v>364</v>
      </c>
      <c r="I935">
        <v>0</v>
      </c>
      <c r="J935" s="69">
        <v>46323</v>
      </c>
      <c r="K935" t="s">
        <v>1626</v>
      </c>
    </row>
    <row r="936" spans="1:11" x14ac:dyDescent="0.25">
      <c r="A936" s="5" t="s">
        <v>22</v>
      </c>
      <c r="B936" t="s">
        <v>1225</v>
      </c>
      <c r="C936">
        <v>114</v>
      </c>
      <c r="D936" t="s">
        <v>1920</v>
      </c>
      <c r="E936">
        <v>0</v>
      </c>
      <c r="F936" t="s">
        <v>1921</v>
      </c>
      <c r="G936" t="s">
        <v>1883</v>
      </c>
      <c r="H936">
        <v>365</v>
      </c>
      <c r="I936">
        <v>0</v>
      </c>
      <c r="J936" s="69">
        <v>46323</v>
      </c>
      <c r="K936" t="s">
        <v>1626</v>
      </c>
    </row>
    <row r="937" spans="1:11" x14ac:dyDescent="0.25">
      <c r="A937" s="5" t="s">
        <v>22</v>
      </c>
      <c r="B937" t="s">
        <v>1225</v>
      </c>
      <c r="C937">
        <v>114</v>
      </c>
      <c r="D937" t="s">
        <v>1600</v>
      </c>
      <c r="E937">
        <v>0</v>
      </c>
      <c r="F937" t="s">
        <v>1601</v>
      </c>
      <c r="G937">
        <v>20034736</v>
      </c>
      <c r="H937">
        <v>364</v>
      </c>
      <c r="I937">
        <v>0</v>
      </c>
      <c r="J937" s="69">
        <v>46323</v>
      </c>
      <c r="K937" t="s">
        <v>1626</v>
      </c>
    </row>
    <row r="938" spans="1:11" x14ac:dyDescent="0.25">
      <c r="A938" s="5" t="s">
        <v>22</v>
      </c>
      <c r="B938" t="s">
        <v>1225</v>
      </c>
      <c r="C938">
        <v>115</v>
      </c>
      <c r="D938" t="s">
        <v>1598</v>
      </c>
      <c r="E938">
        <v>0</v>
      </c>
      <c r="F938" t="s">
        <v>1599</v>
      </c>
      <c r="G938">
        <v>4</v>
      </c>
      <c r="H938">
        <v>364</v>
      </c>
      <c r="I938">
        <v>0</v>
      </c>
      <c r="J938" s="69">
        <v>46324</v>
      </c>
      <c r="K938" t="s">
        <v>1626</v>
      </c>
    </row>
    <row r="939" spans="1:11" x14ac:dyDescent="0.25">
      <c r="A939" s="5" t="s">
        <v>22</v>
      </c>
      <c r="B939" t="s">
        <v>1225</v>
      </c>
      <c r="C939">
        <v>115</v>
      </c>
      <c r="D939" t="s">
        <v>1598</v>
      </c>
      <c r="E939">
        <v>0</v>
      </c>
      <c r="F939" t="s">
        <v>1599</v>
      </c>
      <c r="G939">
        <v>66</v>
      </c>
      <c r="H939">
        <v>364</v>
      </c>
      <c r="I939">
        <v>0</v>
      </c>
      <c r="J939" s="69">
        <v>46324</v>
      </c>
      <c r="K939" t="s">
        <v>1626</v>
      </c>
    </row>
    <row r="940" spans="1:11" x14ac:dyDescent="0.25">
      <c r="A940" s="5" t="s">
        <v>22</v>
      </c>
      <c r="B940" t="s">
        <v>1225</v>
      </c>
      <c r="C940">
        <v>115</v>
      </c>
      <c r="D940" t="s">
        <v>1595</v>
      </c>
      <c r="E940">
        <v>0</v>
      </c>
      <c r="F940" t="s">
        <v>1596</v>
      </c>
      <c r="G940">
        <v>411866</v>
      </c>
      <c r="H940">
        <v>364</v>
      </c>
      <c r="I940">
        <v>0</v>
      </c>
      <c r="J940" s="69">
        <v>46324</v>
      </c>
      <c r="K940" t="s">
        <v>1626</v>
      </c>
    </row>
    <row r="941" spans="1:11" x14ac:dyDescent="0.25">
      <c r="A941" s="5" t="s">
        <v>22</v>
      </c>
      <c r="B941" t="s">
        <v>1225</v>
      </c>
      <c r="C941">
        <v>140</v>
      </c>
      <c r="D941" t="s">
        <v>1305</v>
      </c>
      <c r="E941">
        <v>0</v>
      </c>
      <c r="F941" t="s">
        <v>258</v>
      </c>
      <c r="G941" t="s">
        <v>1689</v>
      </c>
      <c r="H941">
        <v>365</v>
      </c>
      <c r="I941">
        <v>0</v>
      </c>
      <c r="J941" s="69">
        <v>46349</v>
      </c>
      <c r="K941" t="s">
        <v>1626</v>
      </c>
    </row>
    <row r="942" spans="1:11" x14ac:dyDescent="0.25">
      <c r="A942" s="5" t="s">
        <v>22</v>
      </c>
      <c r="B942" t="s">
        <v>1225</v>
      </c>
      <c r="C942">
        <v>178</v>
      </c>
      <c r="D942" t="s">
        <v>1392</v>
      </c>
      <c r="E942">
        <v>0</v>
      </c>
      <c r="F942" t="s">
        <v>1393</v>
      </c>
      <c r="G942" t="s">
        <v>1798</v>
      </c>
      <c r="H942">
        <v>1820</v>
      </c>
      <c r="I942">
        <v>1310</v>
      </c>
      <c r="J942" s="69">
        <v>46387</v>
      </c>
      <c r="K942" t="s">
        <v>1626</v>
      </c>
    </row>
    <row r="943" spans="1:11" x14ac:dyDescent="0.25">
      <c r="A943" s="5" t="s">
        <v>22</v>
      </c>
      <c r="B943" t="s">
        <v>1225</v>
      </c>
      <c r="C943">
        <v>186</v>
      </c>
      <c r="D943" t="s">
        <v>1246</v>
      </c>
      <c r="E943">
        <v>0</v>
      </c>
      <c r="F943" t="s">
        <v>254</v>
      </c>
      <c r="G943">
        <v>3175407</v>
      </c>
      <c r="H943">
        <v>364</v>
      </c>
      <c r="I943">
        <v>0</v>
      </c>
      <c r="J943" s="69">
        <v>46395</v>
      </c>
      <c r="K943" t="s">
        <v>1626</v>
      </c>
    </row>
    <row r="944" spans="1:11" x14ac:dyDescent="0.25">
      <c r="A944" s="5" t="s">
        <v>22</v>
      </c>
      <c r="B944" t="s">
        <v>1225</v>
      </c>
      <c r="C944">
        <v>186</v>
      </c>
      <c r="D944" t="s">
        <v>1247</v>
      </c>
      <c r="E944">
        <v>0</v>
      </c>
      <c r="F944" t="s">
        <v>256</v>
      </c>
      <c r="G944">
        <v>3175407</v>
      </c>
      <c r="H944">
        <v>364</v>
      </c>
      <c r="I944">
        <v>0</v>
      </c>
      <c r="J944" s="69">
        <v>46395</v>
      </c>
      <c r="K944" t="s">
        <v>1626</v>
      </c>
    </row>
    <row r="945" spans="1:11" x14ac:dyDescent="0.25">
      <c r="A945" s="5" t="s">
        <v>22</v>
      </c>
      <c r="B945" t="s">
        <v>1225</v>
      </c>
      <c r="C945">
        <v>186</v>
      </c>
      <c r="D945" t="s">
        <v>1237</v>
      </c>
      <c r="E945">
        <v>0</v>
      </c>
      <c r="F945" t="s">
        <v>250</v>
      </c>
      <c r="G945" t="s">
        <v>1690</v>
      </c>
      <c r="H945">
        <v>364</v>
      </c>
      <c r="I945">
        <v>0</v>
      </c>
      <c r="J945" s="69">
        <v>46395</v>
      </c>
      <c r="K945" t="s">
        <v>1626</v>
      </c>
    </row>
    <row r="946" spans="1:11" x14ac:dyDescent="0.25">
      <c r="A946" s="5" t="s">
        <v>22</v>
      </c>
      <c r="B946" t="s">
        <v>1225</v>
      </c>
      <c r="C946">
        <v>186</v>
      </c>
      <c r="D946" t="s">
        <v>1237</v>
      </c>
      <c r="E946">
        <v>0</v>
      </c>
      <c r="F946" t="s">
        <v>250</v>
      </c>
      <c r="G946" t="s">
        <v>1691</v>
      </c>
      <c r="H946">
        <v>364</v>
      </c>
      <c r="I946">
        <v>0</v>
      </c>
      <c r="J946" s="69">
        <v>46395</v>
      </c>
      <c r="K946" t="s">
        <v>1626</v>
      </c>
    </row>
    <row r="947" spans="1:11" x14ac:dyDescent="0.25">
      <c r="A947" s="5" t="s">
        <v>22</v>
      </c>
      <c r="B947" t="s">
        <v>1225</v>
      </c>
      <c r="C947">
        <v>189</v>
      </c>
      <c r="D947" t="s">
        <v>1316</v>
      </c>
      <c r="E947">
        <v>0</v>
      </c>
      <c r="F947" t="s">
        <v>1317</v>
      </c>
      <c r="G947" t="s">
        <v>1626</v>
      </c>
      <c r="H947">
        <v>0</v>
      </c>
      <c r="I947">
        <v>0</v>
      </c>
      <c r="J947" s="69">
        <v>46398</v>
      </c>
      <c r="K947" t="s">
        <v>1626</v>
      </c>
    </row>
    <row r="948" spans="1:11" x14ac:dyDescent="0.25">
      <c r="A948" s="5" t="s">
        <v>22</v>
      </c>
      <c r="B948" t="s">
        <v>1225</v>
      </c>
      <c r="C948">
        <v>190</v>
      </c>
      <c r="D948" t="s">
        <v>1420</v>
      </c>
      <c r="E948">
        <v>0</v>
      </c>
      <c r="F948" t="s">
        <v>401</v>
      </c>
      <c r="G948" t="s">
        <v>1626</v>
      </c>
      <c r="H948">
        <v>1092</v>
      </c>
      <c r="I948">
        <v>0</v>
      </c>
      <c r="J948" s="69">
        <v>46399</v>
      </c>
      <c r="K948" t="s">
        <v>1626</v>
      </c>
    </row>
    <row r="949" spans="1:11" x14ac:dyDescent="0.25">
      <c r="A949" s="5" t="s">
        <v>22</v>
      </c>
      <c r="B949" t="s">
        <v>1225</v>
      </c>
      <c r="C949">
        <v>217</v>
      </c>
      <c r="D949" t="s">
        <v>1377</v>
      </c>
      <c r="E949">
        <v>0</v>
      </c>
      <c r="F949" t="s">
        <v>375</v>
      </c>
      <c r="G949" t="s">
        <v>1626</v>
      </c>
      <c r="H949">
        <v>546</v>
      </c>
      <c r="I949">
        <v>0</v>
      </c>
      <c r="J949" s="69">
        <v>46426</v>
      </c>
      <c r="K949" t="s">
        <v>1626</v>
      </c>
    </row>
    <row r="950" spans="1:11" x14ac:dyDescent="0.25">
      <c r="A950" s="5" t="s">
        <v>22</v>
      </c>
      <c r="B950" t="s">
        <v>1225</v>
      </c>
      <c r="C950">
        <v>227</v>
      </c>
      <c r="D950" t="s">
        <v>1304</v>
      </c>
      <c r="E950">
        <v>0</v>
      </c>
      <c r="F950" t="s">
        <v>349</v>
      </c>
      <c r="G950" t="s">
        <v>1662</v>
      </c>
      <c r="H950">
        <v>546</v>
      </c>
      <c r="I950">
        <v>0</v>
      </c>
      <c r="J950" s="69">
        <v>46436</v>
      </c>
      <c r="K950" t="s">
        <v>1626</v>
      </c>
    </row>
    <row r="951" spans="1:11" x14ac:dyDescent="0.25">
      <c r="A951" s="5" t="s">
        <v>22</v>
      </c>
      <c r="B951" t="s">
        <v>1225</v>
      </c>
      <c r="C951">
        <v>242</v>
      </c>
      <c r="D951" t="s">
        <v>1301</v>
      </c>
      <c r="E951">
        <v>0</v>
      </c>
      <c r="F951" t="s">
        <v>325</v>
      </c>
      <c r="G951" t="s">
        <v>1664</v>
      </c>
      <c r="H951">
        <v>364</v>
      </c>
      <c r="I951">
        <v>0</v>
      </c>
      <c r="J951" s="69">
        <v>46451</v>
      </c>
      <c r="K951" t="s">
        <v>1626</v>
      </c>
    </row>
    <row r="952" spans="1:11" x14ac:dyDescent="0.25">
      <c r="A952" s="5" t="s">
        <v>22</v>
      </c>
      <c r="B952" t="s">
        <v>1225</v>
      </c>
      <c r="C952">
        <v>255</v>
      </c>
      <c r="D952" t="s">
        <v>1339</v>
      </c>
      <c r="E952">
        <v>0</v>
      </c>
      <c r="F952" t="s">
        <v>1340</v>
      </c>
      <c r="G952" t="s">
        <v>1802</v>
      </c>
      <c r="H952">
        <v>3640</v>
      </c>
      <c r="I952">
        <v>0</v>
      </c>
      <c r="J952" s="69">
        <v>46464</v>
      </c>
      <c r="K952" t="s">
        <v>1626</v>
      </c>
    </row>
    <row r="953" spans="1:11" x14ac:dyDescent="0.25">
      <c r="A953" s="5" t="s">
        <v>22</v>
      </c>
      <c r="B953" t="s">
        <v>1225</v>
      </c>
      <c r="C953">
        <v>259</v>
      </c>
      <c r="D953" t="s">
        <v>1602</v>
      </c>
      <c r="E953">
        <v>0</v>
      </c>
      <c r="F953" t="s">
        <v>1603</v>
      </c>
      <c r="G953" t="s">
        <v>1626</v>
      </c>
      <c r="H953">
        <v>364</v>
      </c>
      <c r="I953">
        <v>0</v>
      </c>
      <c r="J953" s="69">
        <v>46468</v>
      </c>
      <c r="K953" t="s">
        <v>1626</v>
      </c>
    </row>
    <row r="954" spans="1:11" x14ac:dyDescent="0.25">
      <c r="A954" s="5" t="s">
        <v>22</v>
      </c>
      <c r="B954" t="s">
        <v>1225</v>
      </c>
      <c r="C954">
        <v>259</v>
      </c>
      <c r="D954" t="s">
        <v>1604</v>
      </c>
      <c r="E954">
        <v>0</v>
      </c>
      <c r="F954" t="s">
        <v>1605</v>
      </c>
      <c r="G954" t="s">
        <v>1626</v>
      </c>
      <c r="H954">
        <v>364</v>
      </c>
      <c r="I954">
        <v>0</v>
      </c>
      <c r="J954" s="69">
        <v>46468</v>
      </c>
      <c r="K954" t="s">
        <v>1626</v>
      </c>
    </row>
    <row r="955" spans="1:11" x14ac:dyDescent="0.25">
      <c r="A955" s="5" t="s">
        <v>22</v>
      </c>
      <c r="B955" t="s">
        <v>1225</v>
      </c>
      <c r="C955">
        <v>259</v>
      </c>
      <c r="D955" t="s">
        <v>1606</v>
      </c>
      <c r="E955">
        <v>0</v>
      </c>
      <c r="F955" t="s">
        <v>1607</v>
      </c>
      <c r="G955" t="s">
        <v>1626</v>
      </c>
      <c r="H955">
        <v>364</v>
      </c>
      <c r="I955">
        <v>0</v>
      </c>
      <c r="J955" s="69">
        <v>46468</v>
      </c>
      <c r="K955" t="s">
        <v>1626</v>
      </c>
    </row>
    <row r="956" spans="1:11" x14ac:dyDescent="0.25">
      <c r="A956" s="5" t="s">
        <v>22</v>
      </c>
      <c r="B956" t="s">
        <v>1225</v>
      </c>
      <c r="C956">
        <v>259</v>
      </c>
      <c r="D956" t="s">
        <v>1608</v>
      </c>
      <c r="E956">
        <v>0</v>
      </c>
      <c r="F956" t="s">
        <v>1609</v>
      </c>
      <c r="G956" t="s">
        <v>1626</v>
      </c>
      <c r="H956">
        <v>364</v>
      </c>
      <c r="I956">
        <v>0</v>
      </c>
      <c r="J956" s="69">
        <v>46468</v>
      </c>
      <c r="K956" t="s">
        <v>1626</v>
      </c>
    </row>
    <row r="957" spans="1:11" x14ac:dyDescent="0.25">
      <c r="A957" s="5" t="s">
        <v>22</v>
      </c>
      <c r="B957" t="s">
        <v>1225</v>
      </c>
      <c r="C957">
        <v>267</v>
      </c>
      <c r="D957" t="s">
        <v>1299</v>
      </c>
      <c r="E957">
        <v>0</v>
      </c>
      <c r="F957" t="s">
        <v>1300</v>
      </c>
      <c r="G957" t="s">
        <v>1628</v>
      </c>
      <c r="H957">
        <v>364</v>
      </c>
      <c r="I957">
        <v>0</v>
      </c>
      <c r="J957" s="69">
        <v>46476</v>
      </c>
      <c r="K957" t="s">
        <v>1626</v>
      </c>
    </row>
    <row r="958" spans="1:11" x14ac:dyDescent="0.25">
      <c r="A958" s="5" t="s">
        <v>22</v>
      </c>
      <c r="B958" t="s">
        <v>1225</v>
      </c>
      <c r="C958">
        <v>269</v>
      </c>
      <c r="D958" t="s">
        <v>1328</v>
      </c>
      <c r="E958">
        <v>0</v>
      </c>
      <c r="F958" t="s">
        <v>269</v>
      </c>
      <c r="G958" t="s">
        <v>1654</v>
      </c>
      <c r="H958">
        <v>365</v>
      </c>
      <c r="I958">
        <v>0</v>
      </c>
      <c r="J958" s="69">
        <v>46478</v>
      </c>
      <c r="K958" t="s">
        <v>1626</v>
      </c>
    </row>
    <row r="959" spans="1:11" x14ac:dyDescent="0.25">
      <c r="A959" s="5" t="s">
        <v>22</v>
      </c>
      <c r="B959" t="s">
        <v>1225</v>
      </c>
      <c r="C959">
        <v>276</v>
      </c>
      <c r="D959" t="s">
        <v>1338</v>
      </c>
      <c r="E959">
        <v>0</v>
      </c>
      <c r="F959" t="s">
        <v>363</v>
      </c>
      <c r="G959" t="s">
        <v>1626</v>
      </c>
      <c r="H959">
        <v>728</v>
      </c>
      <c r="I959">
        <v>0</v>
      </c>
      <c r="J959" s="69">
        <v>46485</v>
      </c>
      <c r="K959" t="s">
        <v>1626</v>
      </c>
    </row>
    <row r="960" spans="1:11" x14ac:dyDescent="0.25">
      <c r="A960" s="5" t="s">
        <v>22</v>
      </c>
      <c r="B960" t="s">
        <v>1225</v>
      </c>
      <c r="C960">
        <v>295</v>
      </c>
      <c r="D960" t="s">
        <v>1341</v>
      </c>
      <c r="E960">
        <v>0</v>
      </c>
      <c r="F960" t="s">
        <v>1342</v>
      </c>
      <c r="G960" t="s">
        <v>1654</v>
      </c>
      <c r="H960">
        <v>364</v>
      </c>
      <c r="I960">
        <v>0</v>
      </c>
      <c r="J960" s="69">
        <v>46504</v>
      </c>
      <c r="K960" t="s">
        <v>1626</v>
      </c>
    </row>
    <row r="961" spans="1:11" x14ac:dyDescent="0.25">
      <c r="A961" s="5" t="s">
        <v>22</v>
      </c>
      <c r="B961" t="s">
        <v>1225</v>
      </c>
      <c r="C961">
        <v>320</v>
      </c>
      <c r="D961" t="s">
        <v>1375</v>
      </c>
      <c r="E961">
        <v>0</v>
      </c>
      <c r="F961" t="s">
        <v>1376</v>
      </c>
      <c r="G961" t="s">
        <v>1626</v>
      </c>
      <c r="H961">
        <v>0</v>
      </c>
      <c r="I961">
        <v>0</v>
      </c>
      <c r="J961" s="69">
        <v>46529</v>
      </c>
      <c r="K961" t="s">
        <v>1626</v>
      </c>
    </row>
    <row r="962" spans="1:11" x14ac:dyDescent="0.25">
      <c r="A962" s="5" t="s">
        <v>22</v>
      </c>
      <c r="B962" t="s">
        <v>1225</v>
      </c>
      <c r="C962">
        <v>324</v>
      </c>
      <c r="D962" t="s">
        <v>1246</v>
      </c>
      <c r="E962">
        <v>0</v>
      </c>
      <c r="F962" t="s">
        <v>254</v>
      </c>
      <c r="G962">
        <v>3113435</v>
      </c>
      <c r="H962">
        <v>364</v>
      </c>
      <c r="I962">
        <v>0</v>
      </c>
      <c r="J962" s="69">
        <v>46533</v>
      </c>
      <c r="K962" t="s">
        <v>1626</v>
      </c>
    </row>
    <row r="963" spans="1:11" x14ac:dyDescent="0.25">
      <c r="A963" s="5" t="s">
        <v>22</v>
      </c>
      <c r="B963" t="s">
        <v>1225</v>
      </c>
      <c r="C963">
        <v>324</v>
      </c>
      <c r="D963" t="s">
        <v>1247</v>
      </c>
      <c r="E963">
        <v>0</v>
      </c>
      <c r="F963" t="s">
        <v>256</v>
      </c>
      <c r="G963">
        <v>3113435</v>
      </c>
      <c r="H963">
        <v>364</v>
      </c>
      <c r="I963">
        <v>0</v>
      </c>
      <c r="J963" s="69">
        <v>46533</v>
      </c>
      <c r="K963" t="s">
        <v>1626</v>
      </c>
    </row>
    <row r="964" spans="1:11" x14ac:dyDescent="0.25">
      <c r="A964" s="5" t="s">
        <v>22</v>
      </c>
      <c r="B964" t="s">
        <v>1225</v>
      </c>
      <c r="C964">
        <v>330</v>
      </c>
      <c r="D964" t="s">
        <v>1616</v>
      </c>
      <c r="E964">
        <v>0</v>
      </c>
      <c r="F964" t="s">
        <v>1617</v>
      </c>
      <c r="G964" t="s">
        <v>1803</v>
      </c>
      <c r="H964">
        <v>1820</v>
      </c>
      <c r="I964">
        <v>0</v>
      </c>
      <c r="J964" s="69">
        <v>46539</v>
      </c>
      <c r="K964" t="s">
        <v>1626</v>
      </c>
    </row>
    <row r="965" spans="1:11" x14ac:dyDescent="0.25">
      <c r="A965" s="5" t="s">
        <v>22</v>
      </c>
      <c r="B965" t="s">
        <v>1225</v>
      </c>
      <c r="C965">
        <v>345</v>
      </c>
      <c r="D965" t="s">
        <v>1424</v>
      </c>
      <c r="E965">
        <v>0</v>
      </c>
      <c r="F965" t="s">
        <v>1425</v>
      </c>
      <c r="G965">
        <v>1004</v>
      </c>
      <c r="H965">
        <v>0</v>
      </c>
      <c r="I965">
        <v>0</v>
      </c>
      <c r="J965" s="69">
        <v>46554</v>
      </c>
      <c r="K965" t="s">
        <v>1626</v>
      </c>
    </row>
    <row r="966" spans="1:11" x14ac:dyDescent="0.25">
      <c r="A966" s="5" t="s">
        <v>22</v>
      </c>
      <c r="B966" t="s">
        <v>1225</v>
      </c>
      <c r="C966">
        <v>345</v>
      </c>
      <c r="D966" t="s">
        <v>1299</v>
      </c>
      <c r="E966">
        <v>0</v>
      </c>
      <c r="F966" t="s">
        <v>1300</v>
      </c>
      <c r="G966" t="s">
        <v>1642</v>
      </c>
      <c r="H966">
        <v>364</v>
      </c>
      <c r="I966">
        <v>0</v>
      </c>
      <c r="J966" s="69">
        <v>46554</v>
      </c>
      <c r="K966" t="s">
        <v>1626</v>
      </c>
    </row>
    <row r="967" spans="1:11" x14ac:dyDescent="0.25">
      <c r="A967" s="5" t="s">
        <v>22</v>
      </c>
      <c r="B967" t="s">
        <v>1225</v>
      </c>
      <c r="C967">
        <v>346</v>
      </c>
      <c r="D967" t="s">
        <v>1324</v>
      </c>
      <c r="E967">
        <v>0</v>
      </c>
      <c r="F967" t="s">
        <v>1325</v>
      </c>
      <c r="G967" t="s">
        <v>1626</v>
      </c>
      <c r="H967">
        <v>365</v>
      </c>
      <c r="I967">
        <v>0</v>
      </c>
      <c r="J967" s="69">
        <v>46555</v>
      </c>
      <c r="K967" t="s">
        <v>1626</v>
      </c>
    </row>
    <row r="968" spans="1:11" x14ac:dyDescent="0.25">
      <c r="A968" s="5" t="s">
        <v>22</v>
      </c>
      <c r="B968" t="s">
        <v>1225</v>
      </c>
      <c r="C968">
        <v>346</v>
      </c>
      <c r="D968" t="s">
        <v>1326</v>
      </c>
      <c r="E968">
        <v>0</v>
      </c>
      <c r="F968" t="s">
        <v>1327</v>
      </c>
      <c r="G968" t="s">
        <v>1626</v>
      </c>
      <c r="H968">
        <v>365</v>
      </c>
      <c r="I968">
        <v>0</v>
      </c>
      <c r="J968" s="69">
        <v>46555</v>
      </c>
      <c r="K968" t="s">
        <v>1626</v>
      </c>
    </row>
    <row r="969" spans="1:11" x14ac:dyDescent="0.25">
      <c r="A969" s="5" t="s">
        <v>22</v>
      </c>
      <c r="B969" t="s">
        <v>1225</v>
      </c>
      <c r="C969">
        <v>346</v>
      </c>
      <c r="D969" t="s">
        <v>1422</v>
      </c>
      <c r="E969">
        <v>0</v>
      </c>
      <c r="F969" t="s">
        <v>1423</v>
      </c>
      <c r="G969" t="s">
        <v>1626</v>
      </c>
      <c r="H969">
        <v>1456</v>
      </c>
      <c r="I969">
        <v>0</v>
      </c>
      <c r="J969" s="69">
        <v>46555</v>
      </c>
      <c r="K969" t="s">
        <v>1626</v>
      </c>
    </row>
    <row r="970" spans="1:11" x14ac:dyDescent="0.25">
      <c r="A970" s="5" t="s">
        <v>22</v>
      </c>
      <c r="B970" t="s">
        <v>1225</v>
      </c>
      <c r="C970">
        <v>354</v>
      </c>
      <c r="D970" t="s">
        <v>1618</v>
      </c>
      <c r="E970">
        <v>0</v>
      </c>
      <c r="F970" t="s">
        <v>1619</v>
      </c>
      <c r="G970" t="s">
        <v>1804</v>
      </c>
      <c r="H970">
        <v>1820</v>
      </c>
      <c r="I970">
        <v>0</v>
      </c>
      <c r="J970" s="69">
        <v>46563</v>
      </c>
      <c r="K970" t="s">
        <v>1626</v>
      </c>
    </row>
    <row r="971" spans="1:11" x14ac:dyDescent="0.25">
      <c r="A971" s="5" t="s">
        <v>22</v>
      </c>
      <c r="B971" t="s">
        <v>1225</v>
      </c>
      <c r="C971">
        <v>359</v>
      </c>
      <c r="D971" t="s">
        <v>1441</v>
      </c>
      <c r="E971">
        <v>0</v>
      </c>
      <c r="F971" t="s">
        <v>1442</v>
      </c>
      <c r="G971">
        <v>335</v>
      </c>
      <c r="H971">
        <v>0</v>
      </c>
      <c r="I971">
        <v>0</v>
      </c>
      <c r="J971" s="69">
        <v>46568</v>
      </c>
      <c r="K971" t="s">
        <v>1626</v>
      </c>
    </row>
    <row r="972" spans="1:11" x14ac:dyDescent="0.25">
      <c r="A972" s="5" t="s">
        <v>22</v>
      </c>
      <c r="B972" t="s">
        <v>1225</v>
      </c>
      <c r="C972">
        <v>360</v>
      </c>
      <c r="D972" t="s">
        <v>1428</v>
      </c>
      <c r="E972">
        <v>0</v>
      </c>
      <c r="F972" t="s">
        <v>1429</v>
      </c>
      <c r="G972" t="s">
        <v>1802</v>
      </c>
      <c r="H972">
        <v>0</v>
      </c>
      <c r="I972">
        <v>0</v>
      </c>
      <c r="J972" s="69">
        <v>46569</v>
      </c>
      <c r="K972" t="s">
        <v>1626</v>
      </c>
    </row>
    <row r="973" spans="1:11" x14ac:dyDescent="0.25">
      <c r="A973" s="5" t="s">
        <v>22</v>
      </c>
      <c r="B973" t="s">
        <v>1225</v>
      </c>
      <c r="C973">
        <v>360</v>
      </c>
      <c r="D973" t="s">
        <v>1428</v>
      </c>
      <c r="E973">
        <v>0</v>
      </c>
      <c r="F973" t="s">
        <v>1429</v>
      </c>
      <c r="G973" t="s">
        <v>1805</v>
      </c>
      <c r="H973">
        <v>0</v>
      </c>
      <c r="I973">
        <v>0</v>
      </c>
      <c r="J973" s="69">
        <v>46569</v>
      </c>
      <c r="K973" t="s">
        <v>1626</v>
      </c>
    </row>
    <row r="974" spans="1:11" x14ac:dyDescent="0.25">
      <c r="A974" s="5" t="s">
        <v>22</v>
      </c>
      <c r="B974" t="s">
        <v>1225</v>
      </c>
      <c r="C974">
        <v>367</v>
      </c>
      <c r="D974" t="s">
        <v>1333</v>
      </c>
      <c r="E974">
        <v>0</v>
      </c>
      <c r="F974" t="s">
        <v>355</v>
      </c>
      <c r="G974" t="s">
        <v>1626</v>
      </c>
      <c r="H974">
        <v>728</v>
      </c>
      <c r="I974">
        <v>0</v>
      </c>
      <c r="J974" s="69">
        <v>46576</v>
      </c>
      <c r="K974" t="s">
        <v>1626</v>
      </c>
    </row>
    <row r="975" spans="1:11" x14ac:dyDescent="0.25">
      <c r="A975" s="5" t="s">
        <v>22</v>
      </c>
      <c r="B975" t="s">
        <v>1225</v>
      </c>
      <c r="C975">
        <v>367</v>
      </c>
      <c r="D975" t="s">
        <v>1334</v>
      </c>
      <c r="E975">
        <v>0</v>
      </c>
      <c r="F975" t="s">
        <v>357</v>
      </c>
      <c r="G975" t="s">
        <v>1626</v>
      </c>
      <c r="H975">
        <v>728</v>
      </c>
      <c r="I975">
        <v>0</v>
      </c>
      <c r="J975" s="69">
        <v>46576</v>
      </c>
      <c r="K975" t="s">
        <v>1626</v>
      </c>
    </row>
    <row r="976" spans="1:11" x14ac:dyDescent="0.25">
      <c r="A976" s="5" t="s">
        <v>22</v>
      </c>
      <c r="B976" t="s">
        <v>1225</v>
      </c>
      <c r="C976">
        <v>367</v>
      </c>
      <c r="D976" t="s">
        <v>1336</v>
      </c>
      <c r="E976">
        <v>0</v>
      </c>
      <c r="F976" t="s">
        <v>1337</v>
      </c>
      <c r="G976" t="s">
        <v>1626</v>
      </c>
      <c r="H976">
        <v>728</v>
      </c>
      <c r="I976">
        <v>0</v>
      </c>
      <c r="J976" s="69">
        <v>46576</v>
      </c>
      <c r="K976" t="s">
        <v>1626</v>
      </c>
    </row>
    <row r="977" spans="1:11" x14ac:dyDescent="0.25">
      <c r="A977" s="5" t="s">
        <v>22</v>
      </c>
      <c r="B977" t="s">
        <v>1225</v>
      </c>
      <c r="C977">
        <v>372</v>
      </c>
      <c r="D977" t="s">
        <v>1384</v>
      </c>
      <c r="E977">
        <v>0</v>
      </c>
      <c r="F977" t="s">
        <v>1385</v>
      </c>
      <c r="G977" t="s">
        <v>1626</v>
      </c>
      <c r="H977">
        <v>728</v>
      </c>
      <c r="I977">
        <v>0</v>
      </c>
      <c r="J977" s="69">
        <v>46581</v>
      </c>
      <c r="K977" t="s">
        <v>1626</v>
      </c>
    </row>
    <row r="978" spans="1:11" x14ac:dyDescent="0.25">
      <c r="A978" s="5" t="s">
        <v>22</v>
      </c>
      <c r="B978" t="s">
        <v>1225</v>
      </c>
      <c r="C978">
        <v>382</v>
      </c>
      <c r="D978" t="s">
        <v>1386</v>
      </c>
      <c r="E978">
        <v>0</v>
      </c>
      <c r="F978" t="s">
        <v>1387</v>
      </c>
      <c r="G978" t="s">
        <v>1668</v>
      </c>
      <c r="H978">
        <v>730</v>
      </c>
      <c r="I978">
        <v>0</v>
      </c>
      <c r="J978" s="69">
        <v>46591</v>
      </c>
      <c r="K978" t="s">
        <v>1626</v>
      </c>
    </row>
    <row r="979" spans="1:11" x14ac:dyDescent="0.25">
      <c r="A979" s="5" t="s">
        <v>22</v>
      </c>
      <c r="B979" t="s">
        <v>1225</v>
      </c>
      <c r="C979">
        <v>387</v>
      </c>
      <c r="D979" t="s">
        <v>1283</v>
      </c>
      <c r="E979">
        <v>0</v>
      </c>
      <c r="F979" t="s">
        <v>1284</v>
      </c>
      <c r="G979" t="s">
        <v>1626</v>
      </c>
      <c r="H979">
        <v>728</v>
      </c>
      <c r="I979">
        <v>0</v>
      </c>
      <c r="J979" s="69">
        <v>46596</v>
      </c>
      <c r="K979" t="s">
        <v>1626</v>
      </c>
    </row>
    <row r="980" spans="1:11" x14ac:dyDescent="0.25">
      <c r="A980" s="5" t="s">
        <v>22</v>
      </c>
      <c r="B980" t="s">
        <v>1225</v>
      </c>
      <c r="C980">
        <v>402</v>
      </c>
      <c r="D980" t="s">
        <v>1267</v>
      </c>
      <c r="E980">
        <v>0</v>
      </c>
      <c r="F980" t="s">
        <v>1268</v>
      </c>
      <c r="G980">
        <v>1500164</v>
      </c>
      <c r="H980">
        <v>4368</v>
      </c>
      <c r="I980">
        <v>0</v>
      </c>
      <c r="J980" s="69">
        <v>46611</v>
      </c>
      <c r="K980" t="s">
        <v>1626</v>
      </c>
    </row>
    <row r="981" spans="1:11" x14ac:dyDescent="0.25">
      <c r="A981" s="5" t="s">
        <v>22</v>
      </c>
      <c r="B981" t="s">
        <v>1225</v>
      </c>
      <c r="C981">
        <v>409</v>
      </c>
      <c r="D981" t="s">
        <v>1306</v>
      </c>
      <c r="E981">
        <v>0</v>
      </c>
      <c r="F981" t="s">
        <v>1307</v>
      </c>
      <c r="G981" t="s">
        <v>1626</v>
      </c>
      <c r="H981">
        <v>728</v>
      </c>
      <c r="I981">
        <v>0</v>
      </c>
      <c r="J981" s="69">
        <v>46618</v>
      </c>
      <c r="K981" t="s">
        <v>1626</v>
      </c>
    </row>
    <row r="982" spans="1:11" x14ac:dyDescent="0.25">
      <c r="A982" s="5" t="s">
        <v>22</v>
      </c>
      <c r="B982" t="s">
        <v>1225</v>
      </c>
      <c r="C982">
        <v>470</v>
      </c>
      <c r="D982" t="s">
        <v>1242</v>
      </c>
      <c r="E982">
        <v>0</v>
      </c>
      <c r="F982" t="s">
        <v>1243</v>
      </c>
      <c r="G982">
        <v>2725</v>
      </c>
      <c r="H982">
        <v>0</v>
      </c>
      <c r="I982">
        <v>0</v>
      </c>
      <c r="J982" s="69">
        <v>46679</v>
      </c>
      <c r="K982" t="s">
        <v>1626</v>
      </c>
    </row>
    <row r="983" spans="1:11" x14ac:dyDescent="0.25">
      <c r="A983" s="5" t="s">
        <v>22</v>
      </c>
      <c r="B983" t="s">
        <v>1225</v>
      </c>
      <c r="C983">
        <v>550</v>
      </c>
      <c r="D983" t="s">
        <v>1343</v>
      </c>
      <c r="E983">
        <v>0</v>
      </c>
      <c r="F983" t="s">
        <v>1344</v>
      </c>
      <c r="G983" t="s">
        <v>1802</v>
      </c>
      <c r="H983">
        <v>1820</v>
      </c>
      <c r="I983">
        <v>0</v>
      </c>
      <c r="J983" s="69">
        <v>46759</v>
      </c>
      <c r="K983" t="s">
        <v>1626</v>
      </c>
    </row>
    <row r="984" spans="1:11" x14ac:dyDescent="0.25">
      <c r="A984" s="5" t="s">
        <v>22</v>
      </c>
      <c r="B984" t="s">
        <v>1225</v>
      </c>
      <c r="C984">
        <v>550</v>
      </c>
      <c r="D984" t="s">
        <v>1343</v>
      </c>
      <c r="E984">
        <v>0</v>
      </c>
      <c r="F984" t="s">
        <v>1344</v>
      </c>
      <c r="G984" t="s">
        <v>1805</v>
      </c>
      <c r="H984">
        <v>1820</v>
      </c>
      <c r="I984">
        <v>0</v>
      </c>
      <c r="J984" s="69">
        <v>46759</v>
      </c>
      <c r="K984" t="s">
        <v>1626</v>
      </c>
    </row>
    <row r="985" spans="1:11" x14ac:dyDescent="0.25">
      <c r="A985" s="5" t="s">
        <v>22</v>
      </c>
      <c r="B985" t="s">
        <v>1225</v>
      </c>
      <c r="C985">
        <v>573</v>
      </c>
      <c r="D985" t="s">
        <v>1613</v>
      </c>
      <c r="E985">
        <v>0</v>
      </c>
      <c r="F985" t="s">
        <v>1614</v>
      </c>
      <c r="G985" t="s">
        <v>1806</v>
      </c>
      <c r="H985">
        <v>0</v>
      </c>
      <c r="I985">
        <v>0</v>
      </c>
      <c r="J985" s="69">
        <v>46782</v>
      </c>
      <c r="K985" t="s">
        <v>1626</v>
      </c>
    </row>
    <row r="986" spans="1:11" x14ac:dyDescent="0.25">
      <c r="A986" s="5" t="s">
        <v>22</v>
      </c>
      <c r="B986" t="s">
        <v>1225</v>
      </c>
      <c r="C986">
        <v>573</v>
      </c>
      <c r="D986" t="s">
        <v>1613</v>
      </c>
      <c r="E986">
        <v>0</v>
      </c>
      <c r="F986" t="s">
        <v>1614</v>
      </c>
      <c r="G986" t="s">
        <v>1807</v>
      </c>
      <c r="H986">
        <v>0</v>
      </c>
      <c r="I986">
        <v>0</v>
      </c>
      <c r="J986" s="69">
        <v>46782</v>
      </c>
      <c r="K986" t="s">
        <v>1626</v>
      </c>
    </row>
    <row r="987" spans="1:11" x14ac:dyDescent="0.25">
      <c r="A987" s="5" t="s">
        <v>22</v>
      </c>
      <c r="B987" t="s">
        <v>1225</v>
      </c>
      <c r="C987">
        <v>573</v>
      </c>
      <c r="D987" t="s">
        <v>1613</v>
      </c>
      <c r="E987">
        <v>0</v>
      </c>
      <c r="F987" t="s">
        <v>1614</v>
      </c>
      <c r="G987" t="s">
        <v>1808</v>
      </c>
      <c r="H987">
        <v>0</v>
      </c>
      <c r="I987">
        <v>0</v>
      </c>
      <c r="J987" s="69">
        <v>46782</v>
      </c>
      <c r="K987" t="s">
        <v>1626</v>
      </c>
    </row>
    <row r="988" spans="1:11" x14ac:dyDescent="0.25">
      <c r="A988" s="5" t="s">
        <v>22</v>
      </c>
      <c r="B988" t="s">
        <v>1225</v>
      </c>
      <c r="C988">
        <v>603</v>
      </c>
      <c r="D988" t="s">
        <v>1388</v>
      </c>
      <c r="E988">
        <v>0</v>
      </c>
      <c r="F988" t="s">
        <v>1389</v>
      </c>
      <c r="G988" t="s">
        <v>1626</v>
      </c>
      <c r="H988">
        <v>0</v>
      </c>
      <c r="I988">
        <v>0</v>
      </c>
      <c r="J988" s="69">
        <v>46812</v>
      </c>
      <c r="K988" t="s">
        <v>1626</v>
      </c>
    </row>
    <row r="989" spans="1:11" x14ac:dyDescent="0.25">
      <c r="A989" s="5" t="s">
        <v>22</v>
      </c>
      <c r="B989" t="s">
        <v>1225</v>
      </c>
      <c r="C989">
        <v>651</v>
      </c>
      <c r="D989" t="s">
        <v>1313</v>
      </c>
      <c r="E989">
        <v>0</v>
      </c>
      <c r="F989" t="s">
        <v>395</v>
      </c>
      <c r="G989" t="s">
        <v>1626</v>
      </c>
      <c r="H989">
        <v>2184</v>
      </c>
      <c r="I989">
        <v>0</v>
      </c>
      <c r="J989" s="69">
        <v>46860</v>
      </c>
      <c r="K989" t="s">
        <v>1626</v>
      </c>
    </row>
    <row r="990" spans="1:11" x14ac:dyDescent="0.25">
      <c r="A990" s="5" t="s">
        <v>22</v>
      </c>
      <c r="B990" t="s">
        <v>1225</v>
      </c>
      <c r="C990">
        <v>668</v>
      </c>
      <c r="D990" t="s">
        <v>1421</v>
      </c>
      <c r="E990">
        <v>0</v>
      </c>
      <c r="F990" t="s">
        <v>273</v>
      </c>
      <c r="G990" t="s">
        <v>1626</v>
      </c>
      <c r="H990">
        <v>2912</v>
      </c>
      <c r="I990">
        <v>0</v>
      </c>
      <c r="J990" s="69">
        <v>46877</v>
      </c>
      <c r="K990" t="s">
        <v>1626</v>
      </c>
    </row>
    <row r="991" spans="1:11" x14ac:dyDescent="0.25">
      <c r="A991" s="5" t="s">
        <v>22</v>
      </c>
      <c r="B991" t="s">
        <v>1225</v>
      </c>
      <c r="C991">
        <v>695</v>
      </c>
      <c r="D991" t="s">
        <v>1366</v>
      </c>
      <c r="E991">
        <v>0</v>
      </c>
      <c r="F991" t="s">
        <v>1367</v>
      </c>
      <c r="G991" t="s">
        <v>1626</v>
      </c>
      <c r="H991">
        <v>1092</v>
      </c>
      <c r="I991">
        <v>0</v>
      </c>
      <c r="J991" s="69">
        <v>46904</v>
      </c>
      <c r="K991" t="s">
        <v>1626</v>
      </c>
    </row>
    <row r="992" spans="1:11" x14ac:dyDescent="0.25">
      <c r="A992" s="5" t="s">
        <v>22</v>
      </c>
      <c r="B992" t="s">
        <v>1225</v>
      </c>
      <c r="C992">
        <v>695</v>
      </c>
      <c r="D992" t="s">
        <v>1370</v>
      </c>
      <c r="E992">
        <v>0</v>
      </c>
      <c r="F992" t="s">
        <v>319</v>
      </c>
      <c r="G992" t="s">
        <v>1671</v>
      </c>
      <c r="H992">
        <v>1092</v>
      </c>
      <c r="I992">
        <v>0</v>
      </c>
      <c r="J992" s="69">
        <v>46904</v>
      </c>
      <c r="K992" t="s">
        <v>1626</v>
      </c>
    </row>
    <row r="993" spans="1:11" x14ac:dyDescent="0.25">
      <c r="A993" s="5" t="s">
        <v>22</v>
      </c>
      <c r="B993" t="s">
        <v>1225</v>
      </c>
      <c r="C993">
        <v>696</v>
      </c>
      <c r="D993" t="s">
        <v>1349</v>
      </c>
      <c r="E993">
        <v>0</v>
      </c>
      <c r="F993" t="s">
        <v>1350</v>
      </c>
      <c r="G993" t="s">
        <v>1691</v>
      </c>
      <c r="H993">
        <v>1820</v>
      </c>
      <c r="I993">
        <v>0</v>
      </c>
      <c r="J993" s="69">
        <v>46905</v>
      </c>
      <c r="K993" t="s">
        <v>1626</v>
      </c>
    </row>
    <row r="994" spans="1:11" x14ac:dyDescent="0.25">
      <c r="A994" s="5" t="s">
        <v>22</v>
      </c>
      <c r="B994" t="s">
        <v>1225</v>
      </c>
      <c r="C994">
        <v>721</v>
      </c>
      <c r="D994" t="s">
        <v>1390</v>
      </c>
      <c r="E994">
        <v>0</v>
      </c>
      <c r="F994" t="s">
        <v>1391</v>
      </c>
      <c r="G994" t="s">
        <v>1626</v>
      </c>
      <c r="H994">
        <v>1092</v>
      </c>
      <c r="I994">
        <v>0</v>
      </c>
      <c r="J994" s="69">
        <v>46930</v>
      </c>
      <c r="K994" t="s">
        <v>1626</v>
      </c>
    </row>
    <row r="995" spans="1:11" x14ac:dyDescent="0.25">
      <c r="A995" s="5" t="s">
        <v>22</v>
      </c>
      <c r="B995" t="s">
        <v>1225</v>
      </c>
      <c r="C995">
        <v>743</v>
      </c>
      <c r="D995" t="s">
        <v>1353</v>
      </c>
      <c r="E995">
        <v>0</v>
      </c>
      <c r="F995" t="s">
        <v>376</v>
      </c>
      <c r="G995" t="s">
        <v>1626</v>
      </c>
      <c r="H995">
        <v>1092</v>
      </c>
      <c r="I995">
        <v>0</v>
      </c>
      <c r="J995" s="69">
        <v>46952</v>
      </c>
      <c r="K995" t="s">
        <v>1626</v>
      </c>
    </row>
    <row r="996" spans="1:11" x14ac:dyDescent="0.25">
      <c r="A996" s="5" t="s">
        <v>22</v>
      </c>
      <c r="B996" t="s">
        <v>1225</v>
      </c>
      <c r="C996">
        <v>743</v>
      </c>
      <c r="D996" t="s">
        <v>1354</v>
      </c>
      <c r="E996">
        <v>0</v>
      </c>
      <c r="F996" t="s">
        <v>377</v>
      </c>
      <c r="G996" t="s">
        <v>1626</v>
      </c>
      <c r="H996">
        <v>1092</v>
      </c>
      <c r="I996">
        <v>0</v>
      </c>
      <c r="J996" s="69">
        <v>46952</v>
      </c>
      <c r="K996" t="s">
        <v>1626</v>
      </c>
    </row>
    <row r="997" spans="1:11" x14ac:dyDescent="0.25">
      <c r="A997" s="5" t="s">
        <v>22</v>
      </c>
      <c r="B997" t="s">
        <v>1225</v>
      </c>
      <c r="C997">
        <v>743</v>
      </c>
      <c r="D997" t="s">
        <v>1355</v>
      </c>
      <c r="E997">
        <v>0</v>
      </c>
      <c r="F997" t="s">
        <v>378</v>
      </c>
      <c r="G997" t="s">
        <v>1626</v>
      </c>
      <c r="H997">
        <v>1092</v>
      </c>
      <c r="I997">
        <v>0</v>
      </c>
      <c r="J997" s="69">
        <v>46952</v>
      </c>
      <c r="K997" t="s">
        <v>1626</v>
      </c>
    </row>
    <row r="998" spans="1:11" x14ac:dyDescent="0.25">
      <c r="A998" s="5" t="s">
        <v>22</v>
      </c>
      <c r="B998" t="s">
        <v>1225</v>
      </c>
      <c r="C998">
        <v>743</v>
      </c>
      <c r="D998" t="s">
        <v>1356</v>
      </c>
      <c r="E998">
        <v>0</v>
      </c>
      <c r="F998" t="s">
        <v>379</v>
      </c>
      <c r="G998" t="s">
        <v>1626</v>
      </c>
      <c r="H998">
        <v>1092</v>
      </c>
      <c r="I998">
        <v>0</v>
      </c>
      <c r="J998" s="69">
        <v>46952</v>
      </c>
      <c r="K998" t="s">
        <v>1626</v>
      </c>
    </row>
    <row r="999" spans="1:11" x14ac:dyDescent="0.25">
      <c r="A999" s="5" t="s">
        <v>22</v>
      </c>
      <c r="B999" t="s">
        <v>1225</v>
      </c>
      <c r="C999">
        <v>743</v>
      </c>
      <c r="D999" t="s">
        <v>1357</v>
      </c>
      <c r="E999">
        <v>0</v>
      </c>
      <c r="F999" t="s">
        <v>380</v>
      </c>
      <c r="G999" t="s">
        <v>1626</v>
      </c>
      <c r="H999">
        <v>1092</v>
      </c>
      <c r="I999">
        <v>0</v>
      </c>
      <c r="J999" s="69">
        <v>46952</v>
      </c>
      <c r="K999" t="s">
        <v>1626</v>
      </c>
    </row>
    <row r="1000" spans="1:11" x14ac:dyDescent="0.25">
      <c r="A1000" s="5" t="s">
        <v>22</v>
      </c>
      <c r="B1000" t="s">
        <v>1225</v>
      </c>
      <c r="C1000">
        <v>743</v>
      </c>
      <c r="D1000" t="s">
        <v>1358</v>
      </c>
      <c r="E1000">
        <v>0</v>
      </c>
      <c r="F1000" t="s">
        <v>381</v>
      </c>
      <c r="G1000" t="s">
        <v>1626</v>
      </c>
      <c r="H1000">
        <v>1092</v>
      </c>
      <c r="I1000">
        <v>0</v>
      </c>
      <c r="J1000" s="69">
        <v>46952</v>
      </c>
      <c r="K1000" t="s">
        <v>1626</v>
      </c>
    </row>
    <row r="1001" spans="1:11" x14ac:dyDescent="0.25">
      <c r="A1001" s="5" t="s">
        <v>22</v>
      </c>
      <c r="B1001" t="s">
        <v>1225</v>
      </c>
      <c r="C1001">
        <v>743</v>
      </c>
      <c r="D1001" t="s">
        <v>1359</v>
      </c>
      <c r="E1001">
        <v>0</v>
      </c>
      <c r="F1001" t="s">
        <v>382</v>
      </c>
      <c r="G1001" t="s">
        <v>1626</v>
      </c>
      <c r="H1001">
        <v>1092</v>
      </c>
      <c r="I1001">
        <v>0</v>
      </c>
      <c r="J1001" s="69">
        <v>46952</v>
      </c>
      <c r="K1001" t="s">
        <v>1626</v>
      </c>
    </row>
    <row r="1002" spans="1:11" x14ac:dyDescent="0.25">
      <c r="A1002" s="5" t="s">
        <v>22</v>
      </c>
      <c r="B1002" t="s">
        <v>1225</v>
      </c>
      <c r="C1002">
        <v>743</v>
      </c>
      <c r="D1002" t="s">
        <v>1360</v>
      </c>
      <c r="E1002">
        <v>0</v>
      </c>
      <c r="F1002" t="s">
        <v>383</v>
      </c>
      <c r="G1002" t="s">
        <v>1626</v>
      </c>
      <c r="H1002">
        <v>1092</v>
      </c>
      <c r="I1002">
        <v>0</v>
      </c>
      <c r="J1002" s="69">
        <v>46952</v>
      </c>
      <c r="K1002" t="s">
        <v>1626</v>
      </c>
    </row>
    <row r="1003" spans="1:11" x14ac:dyDescent="0.25">
      <c r="A1003" s="5" t="s">
        <v>22</v>
      </c>
      <c r="B1003" t="s">
        <v>1225</v>
      </c>
      <c r="C1003">
        <v>743</v>
      </c>
      <c r="D1003" t="s">
        <v>1361</v>
      </c>
      <c r="E1003">
        <v>0</v>
      </c>
      <c r="F1003" t="s">
        <v>384</v>
      </c>
      <c r="G1003" t="s">
        <v>1626</v>
      </c>
      <c r="H1003">
        <v>1092</v>
      </c>
      <c r="I1003">
        <v>0</v>
      </c>
      <c r="J1003" s="69">
        <v>46952</v>
      </c>
      <c r="K1003" t="s">
        <v>1626</v>
      </c>
    </row>
    <row r="1004" spans="1:11" x14ac:dyDescent="0.25">
      <c r="A1004" s="5" t="s">
        <v>22</v>
      </c>
      <c r="B1004" t="s">
        <v>1225</v>
      </c>
      <c r="C1004">
        <v>743</v>
      </c>
      <c r="D1004" t="s">
        <v>1364</v>
      </c>
      <c r="E1004">
        <v>0</v>
      </c>
      <c r="F1004" t="s">
        <v>409</v>
      </c>
      <c r="G1004" t="s">
        <v>1626</v>
      </c>
      <c r="H1004">
        <v>1092</v>
      </c>
      <c r="I1004">
        <v>0</v>
      </c>
      <c r="J1004" s="69">
        <v>46952</v>
      </c>
      <c r="K1004" t="s">
        <v>1626</v>
      </c>
    </row>
    <row r="1005" spans="1:11" x14ac:dyDescent="0.25">
      <c r="A1005" s="5" t="s">
        <v>22</v>
      </c>
      <c r="B1005" t="s">
        <v>1225</v>
      </c>
      <c r="C1005">
        <v>743</v>
      </c>
      <c r="D1005" t="s">
        <v>1431</v>
      </c>
      <c r="E1005">
        <v>0</v>
      </c>
      <c r="F1005" t="s">
        <v>1432</v>
      </c>
      <c r="G1005" t="s">
        <v>1626</v>
      </c>
      <c r="H1005">
        <v>1820</v>
      </c>
      <c r="I1005">
        <v>0</v>
      </c>
      <c r="J1005" s="69">
        <v>46952</v>
      </c>
      <c r="K1005" t="s">
        <v>1626</v>
      </c>
    </row>
    <row r="1006" spans="1:11" x14ac:dyDescent="0.25">
      <c r="A1006" s="5" t="s">
        <v>22</v>
      </c>
      <c r="B1006" t="s">
        <v>1225</v>
      </c>
      <c r="C1006">
        <v>743</v>
      </c>
      <c r="D1006" t="s">
        <v>1433</v>
      </c>
      <c r="E1006">
        <v>0</v>
      </c>
      <c r="F1006" t="s">
        <v>1434</v>
      </c>
      <c r="G1006" t="s">
        <v>1626</v>
      </c>
      <c r="H1006">
        <v>1820</v>
      </c>
      <c r="I1006">
        <v>0</v>
      </c>
      <c r="J1006" s="69">
        <v>46952</v>
      </c>
      <c r="K1006" t="s">
        <v>1626</v>
      </c>
    </row>
    <row r="1007" spans="1:11" x14ac:dyDescent="0.25">
      <c r="A1007" s="5" t="s">
        <v>22</v>
      </c>
      <c r="B1007" t="s">
        <v>1225</v>
      </c>
      <c r="C1007">
        <v>743</v>
      </c>
      <c r="D1007" t="s">
        <v>1365</v>
      </c>
      <c r="E1007">
        <v>0</v>
      </c>
      <c r="F1007" t="s">
        <v>411</v>
      </c>
      <c r="G1007" t="s">
        <v>1626</v>
      </c>
      <c r="H1007">
        <v>1092</v>
      </c>
      <c r="I1007">
        <v>0</v>
      </c>
      <c r="J1007" s="69">
        <v>46952</v>
      </c>
      <c r="K1007" t="s">
        <v>1626</v>
      </c>
    </row>
    <row r="1008" spans="1:11" x14ac:dyDescent="0.25">
      <c r="A1008" s="5" t="s">
        <v>22</v>
      </c>
      <c r="B1008" t="s">
        <v>1225</v>
      </c>
      <c r="C1008">
        <v>743</v>
      </c>
      <c r="D1008" t="s">
        <v>1922</v>
      </c>
      <c r="E1008">
        <v>0</v>
      </c>
      <c r="F1008" t="s">
        <v>1923</v>
      </c>
      <c r="G1008" t="s">
        <v>1626</v>
      </c>
      <c r="H1008">
        <v>1092</v>
      </c>
      <c r="I1008">
        <v>0</v>
      </c>
      <c r="J1008" s="69">
        <v>46952</v>
      </c>
      <c r="K1008" t="s">
        <v>1626</v>
      </c>
    </row>
    <row r="1009" spans="1:11" x14ac:dyDescent="0.25">
      <c r="A1009" s="5" t="s">
        <v>22</v>
      </c>
      <c r="B1009" t="s">
        <v>1225</v>
      </c>
      <c r="C1009">
        <v>743</v>
      </c>
      <c r="D1009" t="s">
        <v>1368</v>
      </c>
      <c r="E1009">
        <v>0</v>
      </c>
      <c r="F1009" t="s">
        <v>1369</v>
      </c>
      <c r="G1009" t="s">
        <v>1654</v>
      </c>
      <c r="H1009">
        <v>1092</v>
      </c>
      <c r="I1009">
        <v>0</v>
      </c>
      <c r="J1009" s="69">
        <v>46952</v>
      </c>
      <c r="K1009" t="s">
        <v>1626</v>
      </c>
    </row>
    <row r="1010" spans="1:11" x14ac:dyDescent="0.25">
      <c r="A1010" s="5" t="s">
        <v>22</v>
      </c>
      <c r="B1010" t="s">
        <v>1225</v>
      </c>
      <c r="C1010">
        <v>757</v>
      </c>
      <c r="D1010" t="s">
        <v>1347</v>
      </c>
      <c r="E1010">
        <v>0</v>
      </c>
      <c r="F1010" t="s">
        <v>1348</v>
      </c>
      <c r="G1010" t="s">
        <v>1626</v>
      </c>
      <c r="H1010">
        <v>1092</v>
      </c>
      <c r="I1010">
        <v>0</v>
      </c>
      <c r="J1010" s="69">
        <v>46966</v>
      </c>
      <c r="K1010" t="s">
        <v>1626</v>
      </c>
    </row>
    <row r="1011" spans="1:11" x14ac:dyDescent="0.25">
      <c r="A1011" s="5" t="s">
        <v>22</v>
      </c>
      <c r="B1011" t="s">
        <v>1225</v>
      </c>
      <c r="C1011">
        <v>759</v>
      </c>
      <c r="D1011" t="s">
        <v>1371</v>
      </c>
      <c r="E1011">
        <v>0</v>
      </c>
      <c r="F1011" t="s">
        <v>1372</v>
      </c>
      <c r="G1011" t="s">
        <v>1626</v>
      </c>
      <c r="H1011">
        <v>1092</v>
      </c>
      <c r="I1011">
        <v>0</v>
      </c>
      <c r="J1011" s="69">
        <v>46968</v>
      </c>
      <c r="K1011" t="s">
        <v>1626</v>
      </c>
    </row>
    <row r="1012" spans="1:11" x14ac:dyDescent="0.25">
      <c r="A1012" s="5" t="s">
        <v>22</v>
      </c>
      <c r="B1012" t="s">
        <v>1225</v>
      </c>
      <c r="C1012">
        <v>759</v>
      </c>
      <c r="D1012" t="s">
        <v>1373</v>
      </c>
      <c r="E1012">
        <v>0</v>
      </c>
      <c r="F1012" t="s">
        <v>1374</v>
      </c>
      <c r="G1012" t="s">
        <v>1626</v>
      </c>
      <c r="H1012">
        <v>1092</v>
      </c>
      <c r="I1012">
        <v>0</v>
      </c>
      <c r="J1012" s="69">
        <v>46968</v>
      </c>
      <c r="K1012" t="s">
        <v>1626</v>
      </c>
    </row>
    <row r="1013" spans="1:11" x14ac:dyDescent="0.25">
      <c r="A1013" s="5" t="s">
        <v>22</v>
      </c>
      <c r="B1013" t="s">
        <v>1225</v>
      </c>
      <c r="C1013">
        <v>759</v>
      </c>
      <c r="D1013" t="s">
        <v>1362</v>
      </c>
      <c r="E1013">
        <v>0</v>
      </c>
      <c r="F1013" t="s">
        <v>1363</v>
      </c>
      <c r="G1013" t="s">
        <v>1626</v>
      </c>
      <c r="H1013">
        <v>1092</v>
      </c>
      <c r="I1013">
        <v>0</v>
      </c>
      <c r="J1013" s="69">
        <v>46968</v>
      </c>
      <c r="K1013" t="s">
        <v>1626</v>
      </c>
    </row>
    <row r="1014" spans="1:11" x14ac:dyDescent="0.25">
      <c r="A1014" s="5" t="s">
        <v>22</v>
      </c>
      <c r="B1014" t="s">
        <v>1225</v>
      </c>
      <c r="C1014">
        <v>759</v>
      </c>
      <c r="D1014" t="s">
        <v>1378</v>
      </c>
      <c r="E1014">
        <v>0</v>
      </c>
      <c r="F1014" t="s">
        <v>1379</v>
      </c>
      <c r="G1014" t="s">
        <v>1626</v>
      </c>
      <c r="H1014">
        <v>1092</v>
      </c>
      <c r="I1014">
        <v>0</v>
      </c>
      <c r="J1014" s="69">
        <v>46968</v>
      </c>
      <c r="K1014" t="s">
        <v>1626</v>
      </c>
    </row>
    <row r="1015" spans="1:11" x14ac:dyDescent="0.25">
      <c r="A1015" s="5" t="s">
        <v>22</v>
      </c>
      <c r="B1015" t="s">
        <v>1225</v>
      </c>
      <c r="C1015">
        <v>759</v>
      </c>
      <c r="D1015" t="s">
        <v>1380</v>
      </c>
      <c r="E1015">
        <v>0</v>
      </c>
      <c r="F1015" t="s">
        <v>413</v>
      </c>
      <c r="G1015" t="s">
        <v>1626</v>
      </c>
      <c r="H1015">
        <v>1092</v>
      </c>
      <c r="I1015">
        <v>0</v>
      </c>
      <c r="J1015" s="69">
        <v>46968</v>
      </c>
      <c r="K1015" t="s">
        <v>1626</v>
      </c>
    </row>
    <row r="1016" spans="1:11" x14ac:dyDescent="0.25">
      <c r="A1016" s="5" t="s">
        <v>22</v>
      </c>
      <c r="B1016" t="s">
        <v>1225</v>
      </c>
      <c r="C1016">
        <v>766</v>
      </c>
      <c r="D1016" t="s">
        <v>1618</v>
      </c>
      <c r="E1016">
        <v>0</v>
      </c>
      <c r="F1016" t="s">
        <v>1619</v>
      </c>
      <c r="G1016" t="s">
        <v>1809</v>
      </c>
      <c r="H1016">
        <v>1820</v>
      </c>
      <c r="I1016">
        <v>0</v>
      </c>
      <c r="J1016" s="69">
        <v>46975</v>
      </c>
      <c r="K1016" t="s">
        <v>1626</v>
      </c>
    </row>
    <row r="1017" spans="1:11" x14ac:dyDescent="0.25">
      <c r="A1017" s="5" t="s">
        <v>22</v>
      </c>
      <c r="B1017" t="s">
        <v>1225</v>
      </c>
      <c r="C1017">
        <v>773</v>
      </c>
      <c r="D1017" t="s">
        <v>1381</v>
      </c>
      <c r="E1017">
        <v>0</v>
      </c>
      <c r="F1017" t="s">
        <v>1382</v>
      </c>
      <c r="G1017" t="s">
        <v>1626</v>
      </c>
      <c r="H1017">
        <v>1092</v>
      </c>
      <c r="I1017">
        <v>0</v>
      </c>
      <c r="J1017" s="69">
        <v>46982</v>
      </c>
      <c r="K1017" t="s">
        <v>1626</v>
      </c>
    </row>
    <row r="1018" spans="1:11" x14ac:dyDescent="0.25">
      <c r="A1018" s="5" t="s">
        <v>22</v>
      </c>
      <c r="B1018" t="s">
        <v>1225</v>
      </c>
      <c r="C1018">
        <v>773</v>
      </c>
      <c r="D1018" t="s">
        <v>1383</v>
      </c>
      <c r="E1018">
        <v>0</v>
      </c>
      <c r="F1018" t="s">
        <v>407</v>
      </c>
      <c r="G1018" t="s">
        <v>1626</v>
      </c>
      <c r="H1018">
        <v>1092</v>
      </c>
      <c r="I1018">
        <v>0</v>
      </c>
      <c r="J1018" s="69">
        <v>46982</v>
      </c>
      <c r="K1018" t="s">
        <v>1626</v>
      </c>
    </row>
    <row r="1019" spans="1:11" x14ac:dyDescent="0.25">
      <c r="A1019" s="5" t="s">
        <v>22</v>
      </c>
      <c r="B1019" t="s">
        <v>1225</v>
      </c>
      <c r="C1019">
        <v>786</v>
      </c>
      <c r="D1019" t="s">
        <v>1351</v>
      </c>
      <c r="E1019">
        <v>0</v>
      </c>
      <c r="F1019" t="s">
        <v>1352</v>
      </c>
      <c r="G1019" t="s">
        <v>1626</v>
      </c>
      <c r="H1019">
        <v>1092</v>
      </c>
      <c r="I1019">
        <v>0</v>
      </c>
      <c r="J1019" s="69">
        <v>46995</v>
      </c>
      <c r="K1019" t="s">
        <v>1626</v>
      </c>
    </row>
    <row r="1020" spans="1:11" x14ac:dyDescent="0.25">
      <c r="A1020" s="5" t="s">
        <v>22</v>
      </c>
      <c r="B1020" t="s">
        <v>1225</v>
      </c>
      <c r="C1020">
        <v>827</v>
      </c>
      <c r="D1020" t="s">
        <v>1616</v>
      </c>
      <c r="E1020">
        <v>0</v>
      </c>
      <c r="F1020" t="s">
        <v>1617</v>
      </c>
      <c r="G1020" t="s">
        <v>1810</v>
      </c>
      <c r="H1020">
        <v>1820</v>
      </c>
      <c r="I1020">
        <v>0</v>
      </c>
      <c r="J1020" s="69">
        <v>47036</v>
      </c>
      <c r="K1020" t="s">
        <v>1626</v>
      </c>
    </row>
    <row r="1021" spans="1:11" x14ac:dyDescent="0.25">
      <c r="A1021" s="5" t="s">
        <v>22</v>
      </c>
      <c r="B1021" t="s">
        <v>1225</v>
      </c>
      <c r="C1021">
        <v>903</v>
      </c>
      <c r="D1021" t="s">
        <v>1445</v>
      </c>
      <c r="E1021">
        <v>0</v>
      </c>
      <c r="F1021" t="s">
        <v>367</v>
      </c>
      <c r="G1021" t="s">
        <v>1626</v>
      </c>
      <c r="H1021">
        <v>2912</v>
      </c>
      <c r="I1021">
        <v>0</v>
      </c>
      <c r="J1021" s="69">
        <v>47112</v>
      </c>
      <c r="K1021" t="s">
        <v>1626</v>
      </c>
    </row>
    <row r="1022" spans="1:11" x14ac:dyDescent="0.25">
      <c r="A1022" s="5" t="s">
        <v>22</v>
      </c>
      <c r="B1022" t="s">
        <v>1225</v>
      </c>
      <c r="C1022">
        <v>941</v>
      </c>
      <c r="D1022" t="s">
        <v>1349</v>
      </c>
      <c r="E1022">
        <v>0</v>
      </c>
      <c r="F1022" t="s">
        <v>1350</v>
      </c>
      <c r="G1022" t="s">
        <v>1690</v>
      </c>
      <c r="H1022">
        <v>1820</v>
      </c>
      <c r="I1022">
        <v>0</v>
      </c>
      <c r="J1022" s="69">
        <v>47150</v>
      </c>
      <c r="K1022" t="s">
        <v>1626</v>
      </c>
    </row>
    <row r="1023" spans="1:11" x14ac:dyDescent="0.25">
      <c r="A1023" s="5" t="s">
        <v>22</v>
      </c>
      <c r="B1023" t="s">
        <v>1225</v>
      </c>
      <c r="C1023">
        <v>1042</v>
      </c>
      <c r="D1023" t="s">
        <v>1613</v>
      </c>
      <c r="E1023">
        <v>0</v>
      </c>
      <c r="F1023" t="s">
        <v>1614</v>
      </c>
      <c r="G1023" t="s">
        <v>1811</v>
      </c>
      <c r="H1023">
        <v>0</v>
      </c>
      <c r="I1023">
        <v>0</v>
      </c>
      <c r="J1023" s="69">
        <v>47251</v>
      </c>
      <c r="K1023" t="s">
        <v>1626</v>
      </c>
    </row>
    <row r="1024" spans="1:11" x14ac:dyDescent="0.25">
      <c r="A1024" s="5" t="s">
        <v>22</v>
      </c>
      <c r="B1024" t="s">
        <v>1225</v>
      </c>
      <c r="C1024">
        <v>1087</v>
      </c>
      <c r="D1024" t="s">
        <v>1339</v>
      </c>
      <c r="E1024">
        <v>0</v>
      </c>
      <c r="F1024" t="s">
        <v>1340</v>
      </c>
      <c r="G1024" t="s">
        <v>1805</v>
      </c>
      <c r="H1024">
        <v>3640</v>
      </c>
      <c r="I1024">
        <v>0</v>
      </c>
      <c r="J1024" s="69">
        <v>47296</v>
      </c>
      <c r="K1024" t="s">
        <v>1626</v>
      </c>
    </row>
    <row r="1025" spans="1:11" x14ac:dyDescent="0.25">
      <c r="A1025" s="5" t="s">
        <v>22</v>
      </c>
      <c r="B1025" t="s">
        <v>1225</v>
      </c>
      <c r="C1025">
        <v>1095</v>
      </c>
      <c r="D1025" t="s">
        <v>1397</v>
      </c>
      <c r="E1025">
        <v>0</v>
      </c>
      <c r="F1025" t="s">
        <v>279</v>
      </c>
      <c r="G1025" t="s">
        <v>1626</v>
      </c>
      <c r="H1025">
        <v>1456</v>
      </c>
      <c r="I1025">
        <v>0</v>
      </c>
      <c r="J1025" s="69">
        <v>47304</v>
      </c>
      <c r="K1025" t="s">
        <v>1626</v>
      </c>
    </row>
    <row r="1026" spans="1:11" x14ac:dyDescent="0.25">
      <c r="A1026" s="5" t="s">
        <v>22</v>
      </c>
      <c r="B1026" t="s">
        <v>1225</v>
      </c>
      <c r="C1026">
        <v>1095</v>
      </c>
      <c r="D1026" t="s">
        <v>1398</v>
      </c>
      <c r="E1026">
        <v>0</v>
      </c>
      <c r="F1026" t="s">
        <v>1399</v>
      </c>
      <c r="G1026" t="s">
        <v>1626</v>
      </c>
      <c r="H1026">
        <v>1456</v>
      </c>
      <c r="I1026">
        <v>0</v>
      </c>
      <c r="J1026" s="69">
        <v>47304</v>
      </c>
      <c r="K1026" t="s">
        <v>1626</v>
      </c>
    </row>
    <row r="1027" spans="1:11" x14ac:dyDescent="0.25">
      <c r="A1027" s="5" t="s">
        <v>22</v>
      </c>
      <c r="B1027" t="s">
        <v>1225</v>
      </c>
      <c r="C1027">
        <v>1095</v>
      </c>
      <c r="D1027" t="s">
        <v>1400</v>
      </c>
      <c r="E1027">
        <v>0</v>
      </c>
      <c r="F1027" t="s">
        <v>283</v>
      </c>
      <c r="G1027" t="s">
        <v>1626</v>
      </c>
      <c r="H1027">
        <v>1456</v>
      </c>
      <c r="I1027">
        <v>0</v>
      </c>
      <c r="J1027" s="69">
        <v>47304</v>
      </c>
      <c r="K1027" t="s">
        <v>1626</v>
      </c>
    </row>
    <row r="1028" spans="1:11" x14ac:dyDescent="0.25">
      <c r="A1028" s="5" t="s">
        <v>22</v>
      </c>
      <c r="B1028" t="s">
        <v>1225</v>
      </c>
      <c r="C1028">
        <v>1095</v>
      </c>
      <c r="D1028" t="s">
        <v>1335</v>
      </c>
      <c r="E1028">
        <v>0</v>
      </c>
      <c r="F1028" t="s">
        <v>359</v>
      </c>
      <c r="G1028" t="s">
        <v>1626</v>
      </c>
      <c r="H1028">
        <v>1456</v>
      </c>
      <c r="I1028">
        <v>0</v>
      </c>
      <c r="J1028" s="69">
        <v>47304</v>
      </c>
      <c r="K1028" t="s">
        <v>1626</v>
      </c>
    </row>
    <row r="1029" spans="1:11" x14ac:dyDescent="0.25">
      <c r="A1029" s="5" t="s">
        <v>22</v>
      </c>
      <c r="B1029" t="s">
        <v>1225</v>
      </c>
      <c r="C1029">
        <v>1095</v>
      </c>
      <c r="D1029" t="s">
        <v>1401</v>
      </c>
      <c r="E1029">
        <v>0</v>
      </c>
      <c r="F1029" t="s">
        <v>1402</v>
      </c>
      <c r="G1029" t="s">
        <v>1626</v>
      </c>
      <c r="H1029">
        <v>1456</v>
      </c>
      <c r="I1029">
        <v>0</v>
      </c>
      <c r="J1029" s="69">
        <v>47304</v>
      </c>
      <c r="K1029" t="s">
        <v>1626</v>
      </c>
    </row>
    <row r="1030" spans="1:11" x14ac:dyDescent="0.25">
      <c r="A1030" s="5" t="s">
        <v>22</v>
      </c>
      <c r="B1030" t="s">
        <v>1225</v>
      </c>
      <c r="C1030">
        <v>1095</v>
      </c>
      <c r="D1030" t="s">
        <v>1404</v>
      </c>
      <c r="E1030">
        <v>0</v>
      </c>
      <c r="F1030" t="s">
        <v>1405</v>
      </c>
      <c r="G1030" t="s">
        <v>1626</v>
      </c>
      <c r="H1030">
        <v>1456</v>
      </c>
      <c r="I1030">
        <v>0</v>
      </c>
      <c r="J1030" s="69">
        <v>47304</v>
      </c>
      <c r="K1030" t="s">
        <v>1626</v>
      </c>
    </row>
    <row r="1031" spans="1:11" x14ac:dyDescent="0.25">
      <c r="A1031" s="5" t="s">
        <v>22</v>
      </c>
      <c r="B1031" t="s">
        <v>1225</v>
      </c>
      <c r="C1031">
        <v>1095</v>
      </c>
      <c r="D1031" t="s">
        <v>1406</v>
      </c>
      <c r="E1031">
        <v>0</v>
      </c>
      <c r="F1031" t="s">
        <v>289</v>
      </c>
      <c r="G1031" t="s">
        <v>1626</v>
      </c>
      <c r="H1031">
        <v>1456</v>
      </c>
      <c r="I1031">
        <v>0</v>
      </c>
      <c r="J1031" s="69">
        <v>47304</v>
      </c>
      <c r="K1031" t="s">
        <v>1626</v>
      </c>
    </row>
    <row r="1032" spans="1:11" x14ac:dyDescent="0.25">
      <c r="A1032" s="5" t="s">
        <v>22</v>
      </c>
      <c r="B1032" t="s">
        <v>1225</v>
      </c>
      <c r="C1032">
        <v>1095</v>
      </c>
      <c r="D1032" t="s">
        <v>1410</v>
      </c>
      <c r="E1032">
        <v>0</v>
      </c>
      <c r="F1032" t="s">
        <v>297</v>
      </c>
      <c r="G1032" t="s">
        <v>1626</v>
      </c>
      <c r="H1032">
        <v>1456</v>
      </c>
      <c r="I1032">
        <v>0</v>
      </c>
      <c r="J1032" s="69">
        <v>47304</v>
      </c>
      <c r="K1032" t="s">
        <v>1626</v>
      </c>
    </row>
    <row r="1033" spans="1:11" x14ac:dyDescent="0.25">
      <c r="A1033" s="5" t="s">
        <v>22</v>
      </c>
      <c r="B1033" t="s">
        <v>1225</v>
      </c>
      <c r="C1033">
        <v>1095</v>
      </c>
      <c r="D1033" t="s">
        <v>1411</v>
      </c>
      <c r="E1033">
        <v>0</v>
      </c>
      <c r="F1033" t="s">
        <v>299</v>
      </c>
      <c r="G1033" t="s">
        <v>1626</v>
      </c>
      <c r="H1033">
        <v>1456</v>
      </c>
      <c r="I1033">
        <v>0</v>
      </c>
      <c r="J1033" s="69">
        <v>47304</v>
      </c>
      <c r="K1033" t="s">
        <v>1626</v>
      </c>
    </row>
    <row r="1034" spans="1:11" x14ac:dyDescent="0.25">
      <c r="A1034" s="5" t="s">
        <v>22</v>
      </c>
      <c r="B1034" t="s">
        <v>1225</v>
      </c>
      <c r="C1034">
        <v>1095</v>
      </c>
      <c r="D1034" t="s">
        <v>1412</v>
      </c>
      <c r="E1034">
        <v>0</v>
      </c>
      <c r="F1034" t="s">
        <v>301</v>
      </c>
      <c r="G1034" t="s">
        <v>1626</v>
      </c>
      <c r="H1034">
        <v>1456</v>
      </c>
      <c r="I1034">
        <v>0</v>
      </c>
      <c r="J1034" s="69">
        <v>47304</v>
      </c>
      <c r="K1034" t="s">
        <v>1626</v>
      </c>
    </row>
    <row r="1035" spans="1:11" x14ac:dyDescent="0.25">
      <c r="A1035" s="5" t="s">
        <v>22</v>
      </c>
      <c r="B1035" t="s">
        <v>1225</v>
      </c>
      <c r="C1035">
        <v>1095</v>
      </c>
      <c r="D1035" t="s">
        <v>1413</v>
      </c>
      <c r="E1035">
        <v>0</v>
      </c>
      <c r="F1035" t="s">
        <v>303</v>
      </c>
      <c r="G1035" t="s">
        <v>1626</v>
      </c>
      <c r="H1035">
        <v>1456</v>
      </c>
      <c r="I1035">
        <v>0</v>
      </c>
      <c r="J1035" s="69">
        <v>47304</v>
      </c>
      <c r="K1035" t="s">
        <v>1626</v>
      </c>
    </row>
    <row r="1036" spans="1:11" x14ac:dyDescent="0.25">
      <c r="A1036" s="5" t="s">
        <v>22</v>
      </c>
      <c r="B1036" t="s">
        <v>1225</v>
      </c>
      <c r="C1036">
        <v>1095</v>
      </c>
      <c r="D1036" t="s">
        <v>1414</v>
      </c>
      <c r="E1036">
        <v>0</v>
      </c>
      <c r="F1036" t="s">
        <v>305</v>
      </c>
      <c r="G1036" t="s">
        <v>1626</v>
      </c>
      <c r="H1036">
        <v>1456</v>
      </c>
      <c r="I1036">
        <v>0</v>
      </c>
      <c r="J1036" s="69">
        <v>47304</v>
      </c>
      <c r="K1036" t="s">
        <v>1626</v>
      </c>
    </row>
    <row r="1037" spans="1:11" x14ac:dyDescent="0.25">
      <c r="A1037" s="5" t="s">
        <v>22</v>
      </c>
      <c r="B1037" t="s">
        <v>1225</v>
      </c>
      <c r="C1037">
        <v>1095</v>
      </c>
      <c r="D1037" t="s">
        <v>1415</v>
      </c>
      <c r="E1037">
        <v>0</v>
      </c>
      <c r="F1037" t="s">
        <v>1416</v>
      </c>
      <c r="G1037" t="s">
        <v>1626</v>
      </c>
      <c r="H1037">
        <v>1456</v>
      </c>
      <c r="I1037">
        <v>0</v>
      </c>
      <c r="J1037" s="69">
        <v>47304</v>
      </c>
      <c r="K1037" t="s">
        <v>1626</v>
      </c>
    </row>
    <row r="1038" spans="1:11" x14ac:dyDescent="0.25">
      <c r="A1038" s="5" t="s">
        <v>22</v>
      </c>
      <c r="B1038" t="s">
        <v>1225</v>
      </c>
      <c r="C1038">
        <v>1095</v>
      </c>
      <c r="D1038" t="s">
        <v>1264</v>
      </c>
      <c r="E1038">
        <v>0</v>
      </c>
      <c r="F1038" t="s">
        <v>139</v>
      </c>
      <c r="G1038" t="s">
        <v>1688</v>
      </c>
      <c r="H1038">
        <v>1456</v>
      </c>
      <c r="I1038">
        <v>0</v>
      </c>
      <c r="J1038" s="69">
        <v>47304</v>
      </c>
      <c r="K1038" t="s">
        <v>1626</v>
      </c>
    </row>
    <row r="1039" spans="1:11" x14ac:dyDescent="0.25">
      <c r="A1039" s="5" t="s">
        <v>22</v>
      </c>
      <c r="B1039" t="s">
        <v>1225</v>
      </c>
      <c r="C1039">
        <v>1107</v>
      </c>
      <c r="D1039" t="s">
        <v>1394</v>
      </c>
      <c r="E1039">
        <v>0</v>
      </c>
      <c r="F1039" t="s">
        <v>404</v>
      </c>
      <c r="G1039" t="s">
        <v>1626</v>
      </c>
      <c r="H1039">
        <v>1456</v>
      </c>
      <c r="I1039">
        <v>0</v>
      </c>
      <c r="J1039" s="69">
        <v>47316</v>
      </c>
      <c r="K1039" t="s">
        <v>1626</v>
      </c>
    </row>
    <row r="1040" spans="1:11" x14ac:dyDescent="0.25">
      <c r="A1040" s="5" t="s">
        <v>22</v>
      </c>
      <c r="B1040" t="s">
        <v>1225</v>
      </c>
      <c r="C1040">
        <v>1134</v>
      </c>
      <c r="D1040" t="s">
        <v>1612</v>
      </c>
      <c r="E1040">
        <v>0</v>
      </c>
      <c r="F1040" t="s">
        <v>1584</v>
      </c>
      <c r="G1040">
        <v>411866</v>
      </c>
      <c r="H1040">
        <v>0</v>
      </c>
      <c r="I1040">
        <v>0</v>
      </c>
      <c r="J1040" s="69">
        <v>47343</v>
      </c>
      <c r="K1040" t="s">
        <v>1626</v>
      </c>
    </row>
    <row r="1041" spans="1:11" x14ac:dyDescent="0.25">
      <c r="A1041" s="5" t="s">
        <v>22</v>
      </c>
      <c r="B1041" t="s">
        <v>1225</v>
      </c>
      <c r="C1041">
        <v>1175</v>
      </c>
      <c r="D1041" t="s">
        <v>1267</v>
      </c>
      <c r="E1041">
        <v>0</v>
      </c>
      <c r="F1041" t="s">
        <v>1268</v>
      </c>
      <c r="G1041">
        <v>1500267</v>
      </c>
      <c r="H1041">
        <v>4368</v>
      </c>
      <c r="I1041">
        <v>0</v>
      </c>
      <c r="J1041" s="69">
        <v>47384</v>
      </c>
      <c r="K1041" t="s">
        <v>1626</v>
      </c>
    </row>
    <row r="1042" spans="1:11" x14ac:dyDescent="0.25">
      <c r="A1042" s="5" t="s">
        <v>22</v>
      </c>
      <c r="B1042" t="s">
        <v>1225</v>
      </c>
      <c r="C1042">
        <v>1200</v>
      </c>
      <c r="D1042" t="s">
        <v>1418</v>
      </c>
      <c r="E1042">
        <v>0</v>
      </c>
      <c r="F1042" t="s">
        <v>1419</v>
      </c>
      <c r="G1042" t="s">
        <v>1626</v>
      </c>
      <c r="H1042">
        <v>1456</v>
      </c>
      <c r="I1042">
        <v>0</v>
      </c>
      <c r="J1042" s="69">
        <v>47409</v>
      </c>
      <c r="K1042" t="s">
        <v>1626</v>
      </c>
    </row>
    <row r="1043" spans="1:11" x14ac:dyDescent="0.25">
      <c r="A1043" s="5" t="s">
        <v>22</v>
      </c>
      <c r="B1043" t="s">
        <v>1225</v>
      </c>
      <c r="C1043">
        <v>1222</v>
      </c>
      <c r="D1043" t="s">
        <v>1435</v>
      </c>
      <c r="E1043">
        <v>0</v>
      </c>
      <c r="F1043" t="s">
        <v>1436</v>
      </c>
      <c r="G1043" t="s">
        <v>1704</v>
      </c>
      <c r="H1043">
        <v>2184</v>
      </c>
      <c r="I1043">
        <v>0</v>
      </c>
      <c r="J1043" s="69">
        <v>47431</v>
      </c>
      <c r="K1043" t="s">
        <v>1626</v>
      </c>
    </row>
    <row r="1044" spans="1:11" x14ac:dyDescent="0.25">
      <c r="A1044" s="5" t="s">
        <v>22</v>
      </c>
      <c r="B1044" t="s">
        <v>1225</v>
      </c>
      <c r="C1044">
        <v>1222</v>
      </c>
      <c r="D1044" t="s">
        <v>1435</v>
      </c>
      <c r="E1044">
        <v>0</v>
      </c>
      <c r="F1044" t="s">
        <v>1436</v>
      </c>
      <c r="G1044" t="s">
        <v>1705</v>
      </c>
      <c r="H1044">
        <v>2184</v>
      </c>
      <c r="I1044">
        <v>0</v>
      </c>
      <c r="J1044" s="69">
        <v>47431</v>
      </c>
      <c r="K1044" t="s">
        <v>1626</v>
      </c>
    </row>
    <row r="1045" spans="1:11" x14ac:dyDescent="0.25">
      <c r="A1045" s="5" t="s">
        <v>22</v>
      </c>
      <c r="B1045" t="s">
        <v>1225</v>
      </c>
      <c r="C1045">
        <v>1222</v>
      </c>
      <c r="D1045" t="s">
        <v>1435</v>
      </c>
      <c r="E1045">
        <v>0</v>
      </c>
      <c r="F1045" t="s">
        <v>1436</v>
      </c>
      <c r="G1045" t="s">
        <v>1706</v>
      </c>
      <c r="H1045">
        <v>2184</v>
      </c>
      <c r="I1045">
        <v>0</v>
      </c>
      <c r="J1045" s="69">
        <v>47431</v>
      </c>
      <c r="K1045" t="s">
        <v>1626</v>
      </c>
    </row>
    <row r="1046" spans="1:11" x14ac:dyDescent="0.25">
      <c r="A1046" s="5" t="s">
        <v>22</v>
      </c>
      <c r="B1046" t="s">
        <v>1225</v>
      </c>
      <c r="C1046">
        <v>1222</v>
      </c>
      <c r="D1046" t="s">
        <v>1435</v>
      </c>
      <c r="E1046">
        <v>0</v>
      </c>
      <c r="F1046" t="s">
        <v>1436</v>
      </c>
      <c r="G1046" t="s">
        <v>1707</v>
      </c>
      <c r="H1046">
        <v>2184</v>
      </c>
      <c r="I1046">
        <v>0</v>
      </c>
      <c r="J1046" s="69">
        <v>47431</v>
      </c>
      <c r="K1046" t="s">
        <v>1626</v>
      </c>
    </row>
    <row r="1047" spans="1:11" x14ac:dyDescent="0.25">
      <c r="A1047" s="5" t="s">
        <v>22</v>
      </c>
      <c r="B1047" t="s">
        <v>1225</v>
      </c>
      <c r="C1047">
        <v>1276</v>
      </c>
      <c r="D1047" t="s">
        <v>1439</v>
      </c>
      <c r="E1047">
        <v>0</v>
      </c>
      <c r="F1047" t="s">
        <v>1440</v>
      </c>
      <c r="G1047" t="s">
        <v>1626</v>
      </c>
      <c r="H1047">
        <v>2555</v>
      </c>
      <c r="I1047">
        <v>0</v>
      </c>
      <c r="J1047" s="69">
        <v>47485</v>
      </c>
      <c r="K1047" t="s">
        <v>1626</v>
      </c>
    </row>
    <row r="1048" spans="1:11" x14ac:dyDescent="0.25">
      <c r="A1048" s="5" t="s">
        <v>22</v>
      </c>
      <c r="B1048" t="s">
        <v>1225</v>
      </c>
      <c r="C1048">
        <v>1408</v>
      </c>
      <c r="D1048" t="s">
        <v>1430</v>
      </c>
      <c r="E1048">
        <v>0</v>
      </c>
      <c r="F1048" t="s">
        <v>434</v>
      </c>
      <c r="G1048" t="s">
        <v>1626</v>
      </c>
      <c r="H1048">
        <v>2184</v>
      </c>
      <c r="I1048">
        <v>0</v>
      </c>
      <c r="J1048" s="69">
        <v>47617</v>
      </c>
      <c r="K1048" t="s">
        <v>1626</v>
      </c>
    </row>
    <row r="1049" spans="1:11" x14ac:dyDescent="0.25">
      <c r="A1049" s="5" t="s">
        <v>22</v>
      </c>
      <c r="B1049" t="s">
        <v>1225</v>
      </c>
      <c r="C1049">
        <v>1435</v>
      </c>
      <c r="D1049" t="s">
        <v>1426</v>
      </c>
      <c r="E1049">
        <v>0</v>
      </c>
      <c r="F1049" t="s">
        <v>1427</v>
      </c>
      <c r="G1049" t="s">
        <v>1802</v>
      </c>
      <c r="H1049">
        <v>0</v>
      </c>
      <c r="I1049">
        <v>0</v>
      </c>
      <c r="J1049" s="69">
        <v>47644</v>
      </c>
      <c r="K1049" t="s">
        <v>1626</v>
      </c>
    </row>
    <row r="1050" spans="1:11" x14ac:dyDescent="0.25">
      <c r="A1050" s="5" t="s">
        <v>22</v>
      </c>
      <c r="B1050" t="s">
        <v>1225</v>
      </c>
      <c r="C1050">
        <v>1435</v>
      </c>
      <c r="D1050" t="s">
        <v>1426</v>
      </c>
      <c r="E1050">
        <v>0</v>
      </c>
      <c r="F1050" t="s">
        <v>1427</v>
      </c>
      <c r="G1050" t="s">
        <v>1805</v>
      </c>
      <c r="H1050">
        <v>0</v>
      </c>
      <c r="I1050">
        <v>0</v>
      </c>
      <c r="J1050" s="69">
        <v>47644</v>
      </c>
      <c r="K1050" t="s">
        <v>1626</v>
      </c>
    </row>
    <row r="1051" spans="1:11" x14ac:dyDescent="0.25">
      <c r="A1051" s="5" t="s">
        <v>22</v>
      </c>
      <c r="B1051" t="s">
        <v>1225</v>
      </c>
      <c r="C1051">
        <v>1455</v>
      </c>
      <c r="D1051" t="s">
        <v>1615</v>
      </c>
      <c r="E1051">
        <v>0</v>
      </c>
      <c r="F1051" t="s">
        <v>1582</v>
      </c>
      <c r="G1051">
        <v>414871</v>
      </c>
      <c r="H1051">
        <v>0</v>
      </c>
      <c r="I1051">
        <v>0</v>
      </c>
      <c r="J1051" s="69">
        <v>47664</v>
      </c>
      <c r="K1051" t="s">
        <v>1626</v>
      </c>
    </row>
    <row r="1052" spans="1:11" x14ac:dyDescent="0.25">
      <c r="A1052" s="5" t="s">
        <v>22</v>
      </c>
      <c r="B1052" t="s">
        <v>1225</v>
      </c>
      <c r="C1052">
        <v>1590</v>
      </c>
      <c r="D1052" t="s">
        <v>1597</v>
      </c>
      <c r="E1052">
        <v>0</v>
      </c>
      <c r="F1052" t="s">
        <v>1580</v>
      </c>
      <c r="G1052">
        <v>516874</v>
      </c>
      <c r="H1052">
        <v>0</v>
      </c>
      <c r="I1052">
        <v>0</v>
      </c>
      <c r="J1052" s="69">
        <v>47799</v>
      </c>
      <c r="K1052" t="s">
        <v>1626</v>
      </c>
    </row>
    <row r="1053" spans="1:11" x14ac:dyDescent="0.25">
      <c r="A1053" s="5" t="s">
        <v>22</v>
      </c>
      <c r="B1053" t="s">
        <v>1225</v>
      </c>
      <c r="C1053">
        <v>1641</v>
      </c>
      <c r="D1053" t="s">
        <v>1443</v>
      </c>
      <c r="E1053">
        <v>0</v>
      </c>
      <c r="F1053" t="s">
        <v>1444</v>
      </c>
      <c r="G1053" t="s">
        <v>1626</v>
      </c>
      <c r="H1053">
        <v>2920</v>
      </c>
      <c r="I1053">
        <v>0</v>
      </c>
      <c r="J1053" s="69">
        <v>47850</v>
      </c>
      <c r="K1053" t="s">
        <v>1626</v>
      </c>
    </row>
    <row r="1054" spans="1:11" x14ac:dyDescent="0.25">
      <c r="A1054" s="5" t="s">
        <v>22</v>
      </c>
      <c r="B1054" t="s">
        <v>1225</v>
      </c>
      <c r="C1054">
        <v>1648</v>
      </c>
      <c r="D1054" t="s">
        <v>1437</v>
      </c>
      <c r="E1054">
        <v>0</v>
      </c>
      <c r="F1054" t="s">
        <v>1438</v>
      </c>
      <c r="G1054" t="s">
        <v>1626</v>
      </c>
      <c r="H1054">
        <v>1826</v>
      </c>
      <c r="I1054">
        <v>0</v>
      </c>
      <c r="J1054" s="69">
        <v>47857</v>
      </c>
      <c r="K1054" t="s">
        <v>1626</v>
      </c>
    </row>
    <row r="1055" spans="1:11" x14ac:dyDescent="0.25">
      <c r="A1055" s="5" t="s">
        <v>22</v>
      </c>
      <c r="B1055" t="s">
        <v>1225</v>
      </c>
      <c r="C1055">
        <v>1835</v>
      </c>
      <c r="D1055" t="s">
        <v>1395</v>
      </c>
      <c r="E1055">
        <v>0</v>
      </c>
      <c r="F1055" t="s">
        <v>405</v>
      </c>
      <c r="G1055" t="s">
        <v>1626</v>
      </c>
      <c r="H1055">
        <v>2184</v>
      </c>
      <c r="I1055">
        <v>0</v>
      </c>
      <c r="J1055" s="69">
        <v>48044</v>
      </c>
      <c r="K1055" t="s">
        <v>1626</v>
      </c>
    </row>
    <row r="1056" spans="1:11" x14ac:dyDescent="0.25">
      <c r="A1056" s="5" t="s">
        <v>22</v>
      </c>
      <c r="B1056" t="s">
        <v>1225</v>
      </c>
      <c r="C1056">
        <v>1857</v>
      </c>
      <c r="D1056" t="s">
        <v>1621</v>
      </c>
      <c r="E1056">
        <v>0</v>
      </c>
      <c r="F1056" t="s">
        <v>1622</v>
      </c>
      <c r="G1056" t="s">
        <v>1809</v>
      </c>
      <c r="H1056">
        <v>7280</v>
      </c>
      <c r="I1056">
        <v>0</v>
      </c>
      <c r="J1056" s="69">
        <v>48066</v>
      </c>
      <c r="K1056" t="s">
        <v>1626</v>
      </c>
    </row>
    <row r="1057" spans="1:11" x14ac:dyDescent="0.25">
      <c r="A1057" s="5" t="s">
        <v>22</v>
      </c>
      <c r="B1057" t="s">
        <v>1225</v>
      </c>
      <c r="C1057">
        <v>1858</v>
      </c>
      <c r="D1057" t="s">
        <v>1621</v>
      </c>
      <c r="E1057">
        <v>0</v>
      </c>
      <c r="F1057" t="s">
        <v>1622</v>
      </c>
      <c r="G1057" t="s">
        <v>1804</v>
      </c>
      <c r="H1057">
        <v>7280</v>
      </c>
      <c r="I1057">
        <v>0</v>
      </c>
      <c r="J1057" s="69">
        <v>48067</v>
      </c>
      <c r="K1057" t="s">
        <v>1626</v>
      </c>
    </row>
    <row r="1058" spans="1:11" x14ac:dyDescent="0.25">
      <c r="A1058" s="5" t="s">
        <v>22</v>
      </c>
      <c r="B1058" t="s">
        <v>1225</v>
      </c>
      <c r="C1058">
        <v>1898</v>
      </c>
      <c r="D1058" t="s">
        <v>1610</v>
      </c>
      <c r="E1058">
        <v>0</v>
      </c>
      <c r="F1058" t="s">
        <v>1611</v>
      </c>
      <c r="G1058" t="s">
        <v>1803</v>
      </c>
      <c r="H1058">
        <v>5460</v>
      </c>
      <c r="I1058">
        <v>0</v>
      </c>
      <c r="J1058" s="69">
        <v>48107</v>
      </c>
      <c r="K1058" t="s">
        <v>1626</v>
      </c>
    </row>
    <row r="1059" spans="1:11" x14ac:dyDescent="0.25">
      <c r="A1059" s="5" t="s">
        <v>22</v>
      </c>
      <c r="B1059" t="s">
        <v>1225</v>
      </c>
      <c r="C1059">
        <v>2006</v>
      </c>
      <c r="D1059" t="s">
        <v>1446</v>
      </c>
      <c r="E1059">
        <v>0</v>
      </c>
      <c r="F1059" t="s">
        <v>1447</v>
      </c>
      <c r="G1059" t="s">
        <v>1626</v>
      </c>
      <c r="H1059">
        <v>3285</v>
      </c>
      <c r="I1059">
        <v>0</v>
      </c>
      <c r="J1059" s="69">
        <v>48215</v>
      </c>
      <c r="K1059" t="s">
        <v>1626</v>
      </c>
    </row>
    <row r="1060" spans="1:11" x14ac:dyDescent="0.25">
      <c r="A1060" s="5" t="s">
        <v>22</v>
      </c>
      <c r="B1060" t="s">
        <v>1225</v>
      </c>
      <c r="C1060">
        <v>2356</v>
      </c>
      <c r="D1060" t="s">
        <v>1610</v>
      </c>
      <c r="E1060">
        <v>0</v>
      </c>
      <c r="F1060" t="s">
        <v>1611</v>
      </c>
      <c r="G1060" t="s">
        <v>1810</v>
      </c>
      <c r="H1060">
        <v>5460</v>
      </c>
      <c r="I1060">
        <v>0</v>
      </c>
      <c r="J1060" s="69">
        <v>48565</v>
      </c>
      <c r="K1060" t="s">
        <v>1626</v>
      </c>
    </row>
    <row r="1061" spans="1:11" x14ac:dyDescent="0.25">
      <c r="A1061" s="5" t="s">
        <v>22</v>
      </c>
      <c r="B1061" t="s">
        <v>1225</v>
      </c>
      <c r="C1061">
        <v>2390</v>
      </c>
      <c r="D1061" t="s">
        <v>1448</v>
      </c>
      <c r="E1061">
        <v>0</v>
      </c>
      <c r="F1061" t="s">
        <v>1449</v>
      </c>
      <c r="G1061" t="s">
        <v>1626</v>
      </c>
      <c r="H1061">
        <v>3650</v>
      </c>
      <c r="I1061">
        <v>0</v>
      </c>
      <c r="J1061" s="69">
        <v>48599</v>
      </c>
      <c r="K1061" t="s">
        <v>1626</v>
      </c>
    </row>
    <row r="1062" spans="1:11" x14ac:dyDescent="0.25">
      <c r="A1062" s="5" t="s">
        <v>22</v>
      </c>
      <c r="B1062" t="s">
        <v>1225</v>
      </c>
      <c r="C1062">
        <v>2551</v>
      </c>
      <c r="D1062" t="s">
        <v>1396</v>
      </c>
      <c r="E1062">
        <v>0</v>
      </c>
      <c r="F1062" t="s">
        <v>415</v>
      </c>
      <c r="G1062" t="s">
        <v>1626</v>
      </c>
      <c r="H1062">
        <v>2912</v>
      </c>
      <c r="I1062">
        <v>0</v>
      </c>
      <c r="J1062" s="69">
        <v>48760</v>
      </c>
      <c r="K1062" t="s">
        <v>1626</v>
      </c>
    </row>
    <row r="1063" spans="1:11" x14ac:dyDescent="0.25">
      <c r="A1063" s="5" t="s">
        <v>22</v>
      </c>
      <c r="B1063" t="s">
        <v>1225</v>
      </c>
      <c r="C1063">
        <v>2551</v>
      </c>
      <c r="D1063" t="s">
        <v>1403</v>
      </c>
      <c r="E1063">
        <v>0</v>
      </c>
      <c r="F1063" t="s">
        <v>287</v>
      </c>
      <c r="G1063" t="s">
        <v>1626</v>
      </c>
      <c r="H1063">
        <v>2912</v>
      </c>
      <c r="I1063">
        <v>0</v>
      </c>
      <c r="J1063" s="69">
        <v>48760</v>
      </c>
      <c r="K1063" t="s">
        <v>1626</v>
      </c>
    </row>
    <row r="1064" spans="1:11" x14ac:dyDescent="0.25">
      <c r="A1064" s="5" t="s">
        <v>22</v>
      </c>
      <c r="B1064" t="s">
        <v>1225</v>
      </c>
      <c r="C1064">
        <v>2551</v>
      </c>
      <c r="D1064" t="s">
        <v>1407</v>
      </c>
      <c r="E1064">
        <v>0</v>
      </c>
      <c r="F1064" t="s">
        <v>291</v>
      </c>
      <c r="G1064" t="s">
        <v>1626</v>
      </c>
      <c r="H1064">
        <v>2912</v>
      </c>
      <c r="I1064">
        <v>0</v>
      </c>
      <c r="J1064" s="69">
        <v>48760</v>
      </c>
      <c r="K1064" t="s">
        <v>1626</v>
      </c>
    </row>
    <row r="1065" spans="1:11" x14ac:dyDescent="0.25">
      <c r="A1065" s="5" t="s">
        <v>22</v>
      </c>
      <c r="B1065" t="s">
        <v>1225</v>
      </c>
      <c r="C1065">
        <v>2551</v>
      </c>
      <c r="D1065" t="s">
        <v>1408</v>
      </c>
      <c r="E1065">
        <v>0</v>
      </c>
      <c r="F1065" t="s">
        <v>293</v>
      </c>
      <c r="G1065" t="s">
        <v>1626</v>
      </c>
      <c r="H1065">
        <v>2912</v>
      </c>
      <c r="I1065">
        <v>0</v>
      </c>
      <c r="J1065" s="69">
        <v>48760</v>
      </c>
      <c r="K1065" t="s">
        <v>1626</v>
      </c>
    </row>
    <row r="1066" spans="1:11" x14ac:dyDescent="0.25">
      <c r="A1066" s="5" t="s">
        <v>22</v>
      </c>
      <c r="B1066" t="s">
        <v>1225</v>
      </c>
      <c r="C1066">
        <v>2551</v>
      </c>
      <c r="D1066" t="s">
        <v>1409</v>
      </c>
      <c r="E1066">
        <v>0</v>
      </c>
      <c r="F1066" t="s">
        <v>295</v>
      </c>
      <c r="G1066" t="s">
        <v>1626</v>
      </c>
      <c r="H1066">
        <v>2912</v>
      </c>
      <c r="I1066">
        <v>0</v>
      </c>
      <c r="J1066" s="69">
        <v>48760</v>
      </c>
      <c r="K1066" t="s">
        <v>1626</v>
      </c>
    </row>
    <row r="1067" spans="1:11" x14ac:dyDescent="0.25">
      <c r="A1067" s="5" t="s">
        <v>22</v>
      </c>
      <c r="B1067" t="s">
        <v>1225</v>
      </c>
      <c r="C1067">
        <v>2551</v>
      </c>
      <c r="D1067" t="s">
        <v>1417</v>
      </c>
      <c r="E1067">
        <v>0</v>
      </c>
      <c r="F1067" t="s">
        <v>309</v>
      </c>
      <c r="G1067" t="s">
        <v>1626</v>
      </c>
      <c r="H1067">
        <v>2912</v>
      </c>
      <c r="I1067">
        <v>0</v>
      </c>
      <c r="J1067" s="69">
        <v>48760</v>
      </c>
      <c r="K1067" t="s">
        <v>1626</v>
      </c>
    </row>
    <row r="1068" spans="1:11" x14ac:dyDescent="0.25">
      <c r="A1068" s="5" t="s">
        <v>22</v>
      </c>
      <c r="B1068" t="s">
        <v>1225</v>
      </c>
      <c r="C1068">
        <v>2688</v>
      </c>
      <c r="D1068" t="s">
        <v>1267</v>
      </c>
      <c r="E1068">
        <v>0</v>
      </c>
      <c r="F1068" t="s">
        <v>1268</v>
      </c>
      <c r="G1068">
        <v>2105290</v>
      </c>
      <c r="H1068">
        <v>4368</v>
      </c>
      <c r="I1068">
        <v>0</v>
      </c>
      <c r="J1068" s="69">
        <v>48897</v>
      </c>
      <c r="K1068" t="s">
        <v>1626</v>
      </c>
    </row>
    <row r="1069" spans="1:11" x14ac:dyDescent="0.25">
      <c r="A1069" s="5" t="s">
        <v>22</v>
      </c>
      <c r="B1069" t="s">
        <v>1225</v>
      </c>
      <c r="C1069">
        <v>2885</v>
      </c>
      <c r="D1069" t="s">
        <v>1924</v>
      </c>
      <c r="E1069">
        <v>0</v>
      </c>
      <c r="F1069" t="s">
        <v>371</v>
      </c>
      <c r="G1069" t="s">
        <v>1688</v>
      </c>
      <c r="H1069">
        <v>2912</v>
      </c>
      <c r="I1069">
        <v>0</v>
      </c>
      <c r="J1069" s="69">
        <v>49094</v>
      </c>
      <c r="K1069" t="s">
        <v>1626</v>
      </c>
    </row>
    <row r="1070" spans="1:11" x14ac:dyDescent="0.25">
      <c r="A1070" s="5" t="s">
        <v>22</v>
      </c>
      <c r="B1070" t="s">
        <v>1225</v>
      </c>
      <c r="C1070">
        <v>2886</v>
      </c>
      <c r="D1070" t="s">
        <v>1925</v>
      </c>
      <c r="E1070">
        <v>0</v>
      </c>
      <c r="F1070" t="s">
        <v>388</v>
      </c>
      <c r="G1070" t="s">
        <v>1626</v>
      </c>
      <c r="H1070">
        <v>2912</v>
      </c>
      <c r="I1070">
        <v>0</v>
      </c>
      <c r="J1070" s="69">
        <v>49095</v>
      </c>
      <c r="K1070" t="s">
        <v>1626</v>
      </c>
    </row>
    <row r="1071" spans="1:11" x14ac:dyDescent="0.25">
      <c r="A1071" s="5" t="s">
        <v>22</v>
      </c>
      <c r="B1071" t="s">
        <v>1225</v>
      </c>
      <c r="C1071">
        <v>3374</v>
      </c>
      <c r="D1071" t="s">
        <v>1267</v>
      </c>
      <c r="E1071">
        <v>0</v>
      </c>
      <c r="F1071" t="s">
        <v>1268</v>
      </c>
      <c r="G1071">
        <v>2305173</v>
      </c>
      <c r="H1071">
        <v>4368</v>
      </c>
      <c r="I1071">
        <v>0</v>
      </c>
      <c r="J1071" s="69">
        <v>49583</v>
      </c>
      <c r="K1071" t="s">
        <v>1626</v>
      </c>
    </row>
    <row r="1072" spans="1:11" x14ac:dyDescent="0.25">
      <c r="A1072" s="5" t="s">
        <v>22</v>
      </c>
      <c r="B1072" t="s">
        <v>1225</v>
      </c>
      <c r="C1072">
        <v>4634</v>
      </c>
      <c r="D1072" t="s">
        <v>1620</v>
      </c>
      <c r="E1072">
        <v>0</v>
      </c>
      <c r="F1072" t="s">
        <v>1586</v>
      </c>
      <c r="G1072">
        <v>20034736</v>
      </c>
      <c r="H1072">
        <v>0</v>
      </c>
      <c r="I1072">
        <v>0</v>
      </c>
      <c r="J1072" s="69">
        <v>50843</v>
      </c>
      <c r="K1072" t="s">
        <v>1626</v>
      </c>
    </row>
    <row r="1073" spans="1:10" x14ac:dyDescent="0.25">
      <c r="A1073" s="5"/>
      <c r="J1073" s="69"/>
    </row>
    <row r="1074" spans="1:10" x14ac:dyDescent="0.25">
      <c r="A1074" s="5"/>
      <c r="J1074" s="69"/>
    </row>
    <row r="1075" spans="1:10" x14ac:dyDescent="0.25">
      <c r="A1075" s="5"/>
      <c r="J1075" s="69"/>
    </row>
    <row r="1076" spans="1:10" x14ac:dyDescent="0.25">
      <c r="A1076" s="5"/>
      <c r="J1076" s="69"/>
    </row>
    <row r="1077" spans="1:10" x14ac:dyDescent="0.25">
      <c r="A1077" s="5"/>
      <c r="J1077" s="69"/>
    </row>
    <row r="1078" spans="1:10" x14ac:dyDescent="0.25">
      <c r="A1078" s="5"/>
      <c r="J1078" s="69"/>
    </row>
    <row r="1079" spans="1:10" x14ac:dyDescent="0.25">
      <c r="A1079" s="5"/>
      <c r="J1079" s="69"/>
    </row>
    <row r="1080" spans="1:10" x14ac:dyDescent="0.25">
      <c r="A1080" s="5"/>
      <c r="J1080" s="69"/>
    </row>
    <row r="1081" spans="1:10" x14ac:dyDescent="0.25">
      <c r="A1081" s="5"/>
      <c r="J1081" s="69"/>
    </row>
    <row r="1082" spans="1:10" x14ac:dyDescent="0.25">
      <c r="A1082" s="5"/>
      <c r="J1082" s="69"/>
    </row>
    <row r="1083" spans="1:10" x14ac:dyDescent="0.25">
      <c r="A1083" s="5"/>
      <c r="J1083" s="69"/>
    </row>
    <row r="1084" spans="1:10" x14ac:dyDescent="0.25">
      <c r="A1084" s="5"/>
      <c r="J1084" s="69"/>
    </row>
    <row r="1085" spans="1:10" x14ac:dyDescent="0.25">
      <c r="A1085" s="5"/>
      <c r="J1085" s="69"/>
    </row>
    <row r="1086" spans="1:10" x14ac:dyDescent="0.25">
      <c r="A1086" s="5"/>
      <c r="J1086" s="69"/>
    </row>
    <row r="1087" spans="1:10" x14ac:dyDescent="0.25">
      <c r="A1087" s="5"/>
      <c r="J1087" s="69"/>
    </row>
    <row r="1088" spans="1:10" x14ac:dyDescent="0.25">
      <c r="A1088" s="5"/>
      <c r="J1088" s="69"/>
    </row>
    <row r="1089" spans="1:10" x14ac:dyDescent="0.25">
      <c r="A1089" s="5"/>
      <c r="J1089" s="69"/>
    </row>
    <row r="1090" spans="1:10" x14ac:dyDescent="0.25">
      <c r="A1090" s="5"/>
      <c r="J1090" s="69"/>
    </row>
    <row r="1091" spans="1:10" x14ac:dyDescent="0.25">
      <c r="A1091" s="5"/>
      <c r="J1091" s="69"/>
    </row>
    <row r="1092" spans="1:10" x14ac:dyDescent="0.25">
      <c r="A1092" s="5"/>
      <c r="J1092" s="69"/>
    </row>
    <row r="1093" spans="1:10" x14ac:dyDescent="0.25">
      <c r="A1093" s="5"/>
      <c r="J1093" s="69"/>
    </row>
    <row r="1094" spans="1:10" x14ac:dyDescent="0.25">
      <c r="A1094" s="5"/>
      <c r="J1094" s="69"/>
    </row>
    <row r="1095" spans="1:10" x14ac:dyDescent="0.25">
      <c r="A1095" s="5"/>
      <c r="J1095" s="69"/>
    </row>
    <row r="1096" spans="1:10" x14ac:dyDescent="0.25">
      <c r="A1096" s="5"/>
      <c r="J1096" s="69"/>
    </row>
    <row r="1097" spans="1:10" x14ac:dyDescent="0.25">
      <c r="A1097" s="5"/>
      <c r="J1097" s="69"/>
    </row>
    <row r="1098" spans="1:10" x14ac:dyDescent="0.25">
      <c r="A1098" s="5"/>
      <c r="J1098" s="69"/>
    </row>
    <row r="1099" spans="1:10" x14ac:dyDescent="0.25">
      <c r="A1099" s="5"/>
      <c r="J1099" s="69"/>
    </row>
    <row r="1100" spans="1:10" x14ac:dyDescent="0.25">
      <c r="A1100" s="5"/>
      <c r="J1100" s="69"/>
    </row>
    <row r="1101" spans="1:10" x14ac:dyDescent="0.25">
      <c r="A1101" s="5"/>
      <c r="J1101" s="69"/>
    </row>
    <row r="1102" spans="1:10" x14ac:dyDescent="0.25">
      <c r="A1102" s="5"/>
      <c r="J1102" s="69"/>
    </row>
    <row r="1103" spans="1:10" x14ac:dyDescent="0.25">
      <c r="A1103" s="5"/>
      <c r="J1103" s="69"/>
    </row>
    <row r="1104" spans="1:10" x14ac:dyDescent="0.25">
      <c r="A1104" s="5"/>
      <c r="J1104" s="69"/>
    </row>
    <row r="1105" spans="1:10" x14ac:dyDescent="0.25">
      <c r="A1105" s="5"/>
      <c r="J1105" s="69"/>
    </row>
    <row r="1106" spans="1:10" x14ac:dyDescent="0.25">
      <c r="A1106" s="5"/>
      <c r="J1106" s="69"/>
    </row>
    <row r="1107" spans="1:10" x14ac:dyDescent="0.25">
      <c r="A1107" s="5"/>
      <c r="J1107" s="69"/>
    </row>
    <row r="1108" spans="1:10" x14ac:dyDescent="0.25">
      <c r="A1108" s="5"/>
      <c r="J1108" s="69"/>
    </row>
    <row r="1109" spans="1:10" x14ac:dyDescent="0.25">
      <c r="A1109" s="5"/>
      <c r="J1109" s="69"/>
    </row>
    <row r="1110" spans="1:10" x14ac:dyDescent="0.25">
      <c r="A1110" s="5"/>
      <c r="J1110" s="69"/>
    </row>
    <row r="1111" spans="1:10" x14ac:dyDescent="0.25">
      <c r="A1111" s="5"/>
      <c r="J1111" s="69"/>
    </row>
    <row r="1112" spans="1:10" x14ac:dyDescent="0.25">
      <c r="A1112" s="5"/>
      <c r="J1112" s="69"/>
    </row>
    <row r="1113" spans="1:10" x14ac:dyDescent="0.25">
      <c r="A1113" s="5"/>
      <c r="J1113" s="69"/>
    </row>
    <row r="1114" spans="1:10" x14ac:dyDescent="0.25">
      <c r="A1114" s="5"/>
      <c r="J1114" s="69"/>
    </row>
    <row r="1115" spans="1:10" x14ac:dyDescent="0.25">
      <c r="A1115" s="5"/>
      <c r="J1115" s="69"/>
    </row>
    <row r="1116" spans="1:10" x14ac:dyDescent="0.25">
      <c r="A1116" s="5"/>
      <c r="J1116" s="69"/>
    </row>
    <row r="1117" spans="1:10" x14ac:dyDescent="0.25">
      <c r="A1117" s="5"/>
      <c r="J1117" s="69"/>
    </row>
    <row r="1118" spans="1:10" x14ac:dyDescent="0.25">
      <c r="A1118" s="5"/>
      <c r="J1118" s="69"/>
    </row>
    <row r="1119" spans="1:10" x14ac:dyDescent="0.25">
      <c r="A1119" s="5"/>
      <c r="J1119" s="69"/>
    </row>
    <row r="1120" spans="1:10" x14ac:dyDescent="0.25">
      <c r="A1120" s="5"/>
      <c r="J1120" s="69"/>
    </row>
    <row r="1121" spans="1:10" x14ac:dyDescent="0.25">
      <c r="A1121" s="5"/>
      <c r="J1121" s="69"/>
    </row>
    <row r="1122" spans="1:10" x14ac:dyDescent="0.25">
      <c r="A1122" s="5"/>
      <c r="J1122" s="69"/>
    </row>
    <row r="1123" spans="1:10" x14ac:dyDescent="0.25">
      <c r="A1123" s="5"/>
      <c r="J1123" s="69"/>
    </row>
    <row r="1124" spans="1:10" x14ac:dyDescent="0.25">
      <c r="A1124" s="5"/>
      <c r="J1124" s="69"/>
    </row>
    <row r="1125" spans="1:10" x14ac:dyDescent="0.25">
      <c r="A1125" s="5"/>
      <c r="J1125" s="69"/>
    </row>
    <row r="1126" spans="1:10" x14ac:dyDescent="0.25">
      <c r="A1126" s="5"/>
      <c r="J1126" s="69"/>
    </row>
    <row r="1127" spans="1:10" x14ac:dyDescent="0.25">
      <c r="A1127" s="5"/>
      <c r="J1127" s="69"/>
    </row>
    <row r="1128" spans="1:10" x14ac:dyDescent="0.25">
      <c r="A1128" s="5"/>
      <c r="J1128" s="69"/>
    </row>
    <row r="1129" spans="1:10" x14ac:dyDescent="0.25">
      <c r="A1129" s="5"/>
      <c r="J1129" s="69"/>
    </row>
    <row r="1130" spans="1:10" x14ac:dyDescent="0.25">
      <c r="A1130" s="5"/>
      <c r="J1130" s="69"/>
    </row>
    <row r="1131" spans="1:10" x14ac:dyDescent="0.25">
      <c r="A1131" s="5"/>
      <c r="J1131" s="69"/>
    </row>
    <row r="1132" spans="1:10" x14ac:dyDescent="0.25">
      <c r="A1132" s="5"/>
      <c r="J1132" s="69"/>
    </row>
    <row r="1133" spans="1:10" x14ac:dyDescent="0.25">
      <c r="A1133" s="5"/>
      <c r="J1133" s="69"/>
    </row>
    <row r="1134" spans="1:10" x14ac:dyDescent="0.25">
      <c r="A1134" s="5"/>
      <c r="J1134" s="69"/>
    </row>
    <row r="1135" spans="1:10" x14ac:dyDescent="0.25">
      <c r="A1135" s="5"/>
      <c r="J1135" s="69"/>
    </row>
    <row r="1136" spans="1:10" x14ac:dyDescent="0.25">
      <c r="A1136" s="5"/>
      <c r="J1136" s="69"/>
    </row>
    <row r="1137" spans="1:10" x14ac:dyDescent="0.25">
      <c r="A1137" s="5"/>
      <c r="J1137" s="69"/>
    </row>
    <row r="1138" spans="1:10" x14ac:dyDescent="0.25">
      <c r="A1138" s="5"/>
      <c r="J1138" s="69"/>
    </row>
    <row r="1139" spans="1:10" x14ac:dyDescent="0.25">
      <c r="A1139" s="5"/>
      <c r="J1139" s="69"/>
    </row>
    <row r="1140" spans="1:10" x14ac:dyDescent="0.25">
      <c r="A1140" s="5"/>
      <c r="J1140" s="69"/>
    </row>
    <row r="1141" spans="1:10" x14ac:dyDescent="0.25">
      <c r="A1141" s="5"/>
      <c r="J1141" s="69"/>
    </row>
    <row r="1142" spans="1:10" x14ac:dyDescent="0.25">
      <c r="A1142" s="5"/>
      <c r="J1142" s="69"/>
    </row>
    <row r="1143" spans="1:10" x14ac:dyDescent="0.25">
      <c r="A1143" s="5"/>
      <c r="J1143" s="69"/>
    </row>
    <row r="1144" spans="1:10" x14ac:dyDescent="0.25">
      <c r="A1144" s="5"/>
      <c r="J1144" s="69"/>
    </row>
    <row r="1145" spans="1:10" x14ac:dyDescent="0.25">
      <c r="A1145" s="5"/>
      <c r="J1145" s="69"/>
    </row>
    <row r="1146" spans="1:10" x14ac:dyDescent="0.25">
      <c r="A1146" s="5"/>
      <c r="J1146" s="69"/>
    </row>
    <row r="1147" spans="1:10" x14ac:dyDescent="0.25">
      <c r="A1147" s="5"/>
      <c r="J1147" s="69"/>
    </row>
    <row r="1148" spans="1:10" x14ac:dyDescent="0.25">
      <c r="A1148" s="5"/>
      <c r="J1148" s="69"/>
    </row>
    <row r="1149" spans="1:10" x14ac:dyDescent="0.25">
      <c r="A1149" s="5"/>
      <c r="J1149" s="69"/>
    </row>
    <row r="1150" spans="1:10" x14ac:dyDescent="0.25">
      <c r="A1150" s="5"/>
      <c r="J1150" s="69"/>
    </row>
    <row r="1151" spans="1:10" x14ac:dyDescent="0.25">
      <c r="A1151" s="5"/>
      <c r="J1151" s="69"/>
    </row>
    <row r="1152" spans="1:10" x14ac:dyDescent="0.25">
      <c r="A1152" s="5"/>
      <c r="J1152" s="69"/>
    </row>
    <row r="1153" spans="1:10" x14ac:dyDescent="0.25">
      <c r="A1153" s="5"/>
      <c r="J1153" s="69"/>
    </row>
    <row r="1154" spans="1:10" x14ac:dyDescent="0.25">
      <c r="A1154" s="5"/>
      <c r="J1154" s="69"/>
    </row>
    <row r="1155" spans="1:10" x14ac:dyDescent="0.25">
      <c r="A1155" s="5"/>
      <c r="J1155" s="69"/>
    </row>
    <row r="1156" spans="1:10" x14ac:dyDescent="0.25">
      <c r="A1156" s="5"/>
      <c r="J1156" s="69"/>
    </row>
    <row r="1157" spans="1:10" x14ac:dyDescent="0.25">
      <c r="A1157" s="5"/>
      <c r="J1157" s="69"/>
    </row>
    <row r="1158" spans="1:10" x14ac:dyDescent="0.25">
      <c r="A1158" s="5"/>
      <c r="J1158" s="69"/>
    </row>
    <row r="1159" spans="1:10" x14ac:dyDescent="0.25">
      <c r="A1159" s="5"/>
      <c r="J1159" s="69"/>
    </row>
    <row r="1160" spans="1:10" x14ac:dyDescent="0.25">
      <c r="A1160" s="5"/>
      <c r="J1160" s="69"/>
    </row>
    <row r="1161" spans="1:10" x14ac:dyDescent="0.25">
      <c r="A1161" s="5"/>
      <c r="J1161" s="69"/>
    </row>
    <row r="1162" spans="1:10" x14ac:dyDescent="0.25">
      <c r="A1162" s="5"/>
      <c r="J1162" s="69"/>
    </row>
    <row r="1163" spans="1:10" x14ac:dyDescent="0.25">
      <c r="A1163" s="5"/>
      <c r="J1163" s="69"/>
    </row>
    <row r="1164" spans="1:10" x14ac:dyDescent="0.25">
      <c r="A1164" s="5"/>
      <c r="J1164" s="69"/>
    </row>
    <row r="1165" spans="1:10" x14ac:dyDescent="0.25">
      <c r="A1165" s="5"/>
      <c r="J1165" s="69"/>
    </row>
    <row r="1166" spans="1:10" x14ac:dyDescent="0.25">
      <c r="A1166" s="5"/>
      <c r="J1166" s="69"/>
    </row>
    <row r="1167" spans="1:10" x14ac:dyDescent="0.25">
      <c r="A1167" s="5"/>
      <c r="J1167" s="69"/>
    </row>
    <row r="1168" spans="1:10" x14ac:dyDescent="0.25">
      <c r="A1168" s="5"/>
      <c r="J1168" s="69"/>
    </row>
    <row r="1169" spans="1:10" x14ac:dyDescent="0.25">
      <c r="A1169" s="5"/>
      <c r="J1169" s="69"/>
    </row>
    <row r="1170" spans="1:10" x14ac:dyDescent="0.25">
      <c r="A1170" s="5"/>
      <c r="J1170" s="69"/>
    </row>
    <row r="1171" spans="1:10" x14ac:dyDescent="0.25">
      <c r="A1171" s="5"/>
      <c r="J1171" s="69"/>
    </row>
    <row r="1172" spans="1:10" x14ac:dyDescent="0.25">
      <c r="A1172" s="5"/>
      <c r="J1172" s="69"/>
    </row>
    <row r="1173" spans="1:10" x14ac:dyDescent="0.25">
      <c r="A1173" s="5"/>
      <c r="J1173" s="69"/>
    </row>
    <row r="1174" spans="1:10" x14ac:dyDescent="0.25">
      <c r="A1174" s="5"/>
      <c r="J1174" s="69"/>
    </row>
    <row r="1175" spans="1:10" x14ac:dyDescent="0.25">
      <c r="A1175" s="5"/>
      <c r="J1175" s="69"/>
    </row>
    <row r="1176" spans="1:10" x14ac:dyDescent="0.25">
      <c r="A1176" s="5"/>
      <c r="J1176" s="69"/>
    </row>
    <row r="1177" spans="1:10" x14ac:dyDescent="0.25">
      <c r="A1177" s="5"/>
      <c r="J1177" s="69"/>
    </row>
    <row r="1178" spans="1:10" x14ac:dyDescent="0.25">
      <c r="A1178" s="5"/>
      <c r="J1178" s="69"/>
    </row>
    <row r="1179" spans="1:10" x14ac:dyDescent="0.25">
      <c r="A1179" s="5"/>
      <c r="J1179" s="69"/>
    </row>
    <row r="1180" spans="1:10" x14ac:dyDescent="0.25">
      <c r="A1180" s="5"/>
      <c r="J1180" s="69"/>
    </row>
    <row r="1181" spans="1:10" x14ac:dyDescent="0.25">
      <c r="A1181" s="5"/>
      <c r="J1181" s="69"/>
    </row>
    <row r="1182" spans="1:10" x14ac:dyDescent="0.25">
      <c r="A1182" s="5"/>
      <c r="J1182" s="69"/>
    </row>
    <row r="1183" spans="1:10" x14ac:dyDescent="0.25">
      <c r="A1183" s="5"/>
      <c r="J1183" s="69"/>
    </row>
    <row r="1184" spans="1:10" x14ac:dyDescent="0.25">
      <c r="A1184" s="5"/>
      <c r="J1184" s="69"/>
    </row>
    <row r="1185" spans="1:10" x14ac:dyDescent="0.25">
      <c r="A1185" s="5"/>
      <c r="J1185" s="69"/>
    </row>
    <row r="1186" spans="1:10" x14ac:dyDescent="0.25">
      <c r="A1186" s="5"/>
      <c r="J1186" s="69"/>
    </row>
    <row r="1187" spans="1:10" x14ac:dyDescent="0.25">
      <c r="A1187" s="5"/>
      <c r="J1187" s="69"/>
    </row>
    <row r="1188" spans="1:10" x14ac:dyDescent="0.25">
      <c r="A1188" s="5"/>
      <c r="J1188" s="69"/>
    </row>
    <row r="1189" spans="1:10" x14ac:dyDescent="0.25">
      <c r="A1189" s="5"/>
      <c r="J1189" s="69"/>
    </row>
    <row r="1190" spans="1:10" x14ac:dyDescent="0.25">
      <c r="A1190" s="5"/>
      <c r="J1190" s="69"/>
    </row>
    <row r="1191" spans="1:10" x14ac:dyDescent="0.25">
      <c r="A1191" s="5"/>
      <c r="J1191" s="69"/>
    </row>
    <row r="1192" spans="1:10" x14ac:dyDescent="0.25">
      <c r="A1192" s="5"/>
      <c r="J1192" s="69"/>
    </row>
    <row r="1193" spans="1:10" x14ac:dyDescent="0.25">
      <c r="A1193" s="5"/>
      <c r="J1193" s="69"/>
    </row>
    <row r="1194" spans="1:10" x14ac:dyDescent="0.25">
      <c r="A1194" s="5"/>
      <c r="J1194" s="69"/>
    </row>
    <row r="1195" spans="1:10" x14ac:dyDescent="0.25">
      <c r="A1195" s="5"/>
      <c r="J1195" s="69"/>
    </row>
    <row r="1196" spans="1:10" x14ac:dyDescent="0.25">
      <c r="A1196" s="5"/>
      <c r="J1196" s="69"/>
    </row>
    <row r="1197" spans="1:10" x14ac:dyDescent="0.25">
      <c r="A1197" s="5"/>
      <c r="J1197" s="69"/>
    </row>
    <row r="1198" spans="1:10" x14ac:dyDescent="0.25">
      <c r="A1198" s="5"/>
      <c r="J1198" s="69"/>
    </row>
    <row r="1199" spans="1:10" x14ac:dyDescent="0.25">
      <c r="A1199" s="5"/>
      <c r="J1199" s="69"/>
    </row>
    <row r="1200" spans="1:10" x14ac:dyDescent="0.25">
      <c r="A1200" s="5"/>
      <c r="J1200" s="69"/>
    </row>
    <row r="1201" spans="1:10" x14ac:dyDescent="0.25">
      <c r="A1201" s="5"/>
      <c r="J1201" s="69"/>
    </row>
    <row r="1202" spans="1:10" x14ac:dyDescent="0.25">
      <c r="A1202" s="5"/>
      <c r="J1202" s="69"/>
    </row>
    <row r="1203" spans="1:10" x14ac:dyDescent="0.25">
      <c r="A1203" s="5"/>
      <c r="J1203" s="69"/>
    </row>
    <row r="1204" spans="1:10" x14ac:dyDescent="0.25">
      <c r="A1204" s="5"/>
      <c r="J1204" s="69"/>
    </row>
    <row r="1205" spans="1:10" x14ac:dyDescent="0.25">
      <c r="A1205" s="5"/>
      <c r="J1205" s="69"/>
    </row>
    <row r="1206" spans="1:10" x14ac:dyDescent="0.25">
      <c r="A1206" s="5"/>
      <c r="J1206" s="69"/>
    </row>
    <row r="1207" spans="1:10" x14ac:dyDescent="0.25">
      <c r="A1207" s="5"/>
      <c r="J1207" s="69"/>
    </row>
    <row r="1208" spans="1:10" x14ac:dyDescent="0.25">
      <c r="A1208" s="5"/>
      <c r="J1208" s="69"/>
    </row>
    <row r="1209" spans="1:10" x14ac:dyDescent="0.25">
      <c r="A1209" s="5"/>
      <c r="J1209" s="69"/>
    </row>
    <row r="1210" spans="1:10" x14ac:dyDescent="0.25">
      <c r="A1210" s="5"/>
      <c r="J1210" s="69"/>
    </row>
    <row r="1211" spans="1:10" x14ac:dyDescent="0.25">
      <c r="A1211" s="5"/>
      <c r="J1211" s="69"/>
    </row>
    <row r="1212" spans="1:10" x14ac:dyDescent="0.25">
      <c r="A1212" s="5"/>
      <c r="J1212" s="69"/>
    </row>
    <row r="1213" spans="1:10" x14ac:dyDescent="0.25">
      <c r="A1213" s="5"/>
      <c r="J1213" s="69"/>
    </row>
    <row r="1214" spans="1:10" x14ac:dyDescent="0.25">
      <c r="A1214" s="5"/>
      <c r="J1214" s="69"/>
    </row>
    <row r="1215" spans="1:10" x14ac:dyDescent="0.25">
      <c r="A1215" s="5"/>
      <c r="J1215" s="69"/>
    </row>
    <row r="1216" spans="1:10" x14ac:dyDescent="0.25">
      <c r="A1216" s="5"/>
      <c r="J1216" s="69"/>
    </row>
    <row r="1217" spans="1:10" x14ac:dyDescent="0.25">
      <c r="A1217" s="5"/>
      <c r="J1217" s="69"/>
    </row>
    <row r="1218" spans="1:10" x14ac:dyDescent="0.25">
      <c r="A1218" s="5"/>
      <c r="J1218" s="69"/>
    </row>
    <row r="1219" spans="1:10" x14ac:dyDescent="0.25">
      <c r="A1219" s="5"/>
      <c r="J1219" s="69"/>
    </row>
    <row r="1220" spans="1:10" x14ac:dyDescent="0.25">
      <c r="A1220" s="5"/>
      <c r="J1220" s="69"/>
    </row>
    <row r="1221" spans="1:10" x14ac:dyDescent="0.25">
      <c r="A1221" s="5"/>
      <c r="J1221" s="69"/>
    </row>
    <row r="1222" spans="1:10" x14ac:dyDescent="0.25">
      <c r="A1222" s="5"/>
      <c r="J1222" s="69"/>
    </row>
    <row r="1223" spans="1:10" x14ac:dyDescent="0.25">
      <c r="A1223" s="5"/>
      <c r="J1223" s="69"/>
    </row>
    <row r="1224" spans="1:10" x14ac:dyDescent="0.25">
      <c r="A1224" s="5"/>
      <c r="J1224" s="69"/>
    </row>
    <row r="1225" spans="1:10" x14ac:dyDescent="0.25">
      <c r="A1225" s="5"/>
      <c r="J1225" s="69"/>
    </row>
    <row r="1226" spans="1:10" x14ac:dyDescent="0.25">
      <c r="A1226" s="5"/>
      <c r="J1226" s="69"/>
    </row>
    <row r="1227" spans="1:10" x14ac:dyDescent="0.25">
      <c r="A1227" s="5"/>
      <c r="J1227" s="69"/>
    </row>
    <row r="1228" spans="1:10" x14ac:dyDescent="0.25">
      <c r="A1228" s="5"/>
      <c r="J1228" s="69"/>
    </row>
    <row r="1229" spans="1:10" x14ac:dyDescent="0.25">
      <c r="A1229" s="5"/>
      <c r="J1229" s="69"/>
    </row>
    <row r="1230" spans="1:10" x14ac:dyDescent="0.25">
      <c r="A1230" s="5"/>
      <c r="J1230" s="69"/>
    </row>
    <row r="1231" spans="1:10" x14ac:dyDescent="0.25">
      <c r="A1231" s="5"/>
      <c r="J1231" s="69"/>
    </row>
    <row r="1232" spans="1:10" x14ac:dyDescent="0.25">
      <c r="A1232" s="5"/>
      <c r="J1232" s="69"/>
    </row>
    <row r="1233" spans="1:10" x14ac:dyDescent="0.25">
      <c r="A1233" s="5"/>
      <c r="J1233" s="69"/>
    </row>
    <row r="1234" spans="1:10" x14ac:dyDescent="0.25">
      <c r="A1234" s="5"/>
      <c r="J1234" s="69"/>
    </row>
    <row r="1235" spans="1:10" x14ac:dyDescent="0.25">
      <c r="A1235" s="5"/>
      <c r="J1235" s="69"/>
    </row>
    <row r="1236" spans="1:10" x14ac:dyDescent="0.25">
      <c r="A1236" s="5"/>
      <c r="J1236" s="69"/>
    </row>
    <row r="1237" spans="1:10" x14ac:dyDescent="0.25">
      <c r="A1237" s="5"/>
      <c r="J1237" s="69"/>
    </row>
    <row r="1238" spans="1:10" x14ac:dyDescent="0.25">
      <c r="A1238" s="5"/>
      <c r="J1238" s="69"/>
    </row>
    <row r="1239" spans="1:10" x14ac:dyDescent="0.25">
      <c r="A1239" s="5"/>
      <c r="J1239" s="69"/>
    </row>
    <row r="1240" spans="1:10" x14ac:dyDescent="0.25">
      <c r="A1240" s="5"/>
      <c r="J1240" s="69"/>
    </row>
    <row r="1241" spans="1:10" x14ac:dyDescent="0.25">
      <c r="A1241" s="5"/>
      <c r="J1241" s="69"/>
    </row>
    <row r="1242" spans="1:10" x14ac:dyDescent="0.25">
      <c r="A1242" s="5"/>
      <c r="J1242" s="69"/>
    </row>
    <row r="1243" spans="1:10" x14ac:dyDescent="0.25">
      <c r="A1243" s="5"/>
      <c r="J1243" s="69"/>
    </row>
    <row r="1244" spans="1:10" x14ac:dyDescent="0.25">
      <c r="A1244" s="5"/>
      <c r="J1244" s="69"/>
    </row>
    <row r="1245" spans="1:10" x14ac:dyDescent="0.25">
      <c r="A1245" s="5"/>
      <c r="J1245" s="69"/>
    </row>
    <row r="1246" spans="1:10" x14ac:dyDescent="0.25">
      <c r="A1246" s="5"/>
      <c r="J1246" s="69"/>
    </row>
    <row r="1247" spans="1:10" x14ac:dyDescent="0.25">
      <c r="A1247" s="5"/>
      <c r="J1247" s="69"/>
    </row>
    <row r="1248" spans="1:10" x14ac:dyDescent="0.25">
      <c r="A1248" s="5"/>
      <c r="J1248" s="69"/>
    </row>
    <row r="1249" spans="1:10" x14ac:dyDescent="0.25">
      <c r="A1249" s="5"/>
      <c r="J1249" s="69"/>
    </row>
    <row r="1250" spans="1:10" x14ac:dyDescent="0.25">
      <c r="A1250" s="5"/>
      <c r="J1250" s="69"/>
    </row>
    <row r="1251" spans="1:10" x14ac:dyDescent="0.25">
      <c r="A1251" s="5"/>
      <c r="J1251" s="69"/>
    </row>
    <row r="1252" spans="1:10" x14ac:dyDescent="0.25">
      <c r="A1252" s="5"/>
      <c r="J1252" s="69"/>
    </row>
    <row r="1253" spans="1:10" x14ac:dyDescent="0.25">
      <c r="A1253" s="5"/>
      <c r="J1253" s="69"/>
    </row>
    <row r="1254" spans="1:10" x14ac:dyDescent="0.25">
      <c r="A1254" s="5"/>
      <c r="J1254" s="69"/>
    </row>
    <row r="1255" spans="1:10" x14ac:dyDescent="0.25">
      <c r="A1255" s="5"/>
      <c r="J1255" s="69"/>
    </row>
    <row r="1256" spans="1:10" x14ac:dyDescent="0.25">
      <c r="A1256" s="5"/>
      <c r="J1256" s="69"/>
    </row>
    <row r="1257" spans="1:10" x14ac:dyDescent="0.25">
      <c r="A1257" s="5"/>
      <c r="J1257" s="69"/>
    </row>
    <row r="1258" spans="1:10" x14ac:dyDescent="0.25">
      <c r="A1258" s="5"/>
      <c r="J1258" s="69"/>
    </row>
    <row r="1259" spans="1:10" x14ac:dyDescent="0.25">
      <c r="A1259" s="5"/>
      <c r="J1259" s="69"/>
    </row>
    <row r="1260" spans="1:10" x14ac:dyDescent="0.25">
      <c r="A1260" s="5"/>
      <c r="J1260" s="69"/>
    </row>
    <row r="1261" spans="1:10" x14ac:dyDescent="0.25">
      <c r="A1261" s="5"/>
      <c r="J1261" s="69"/>
    </row>
    <row r="1262" spans="1:10" x14ac:dyDescent="0.25">
      <c r="A1262" s="5"/>
      <c r="J1262" s="69"/>
    </row>
    <row r="1263" spans="1:10" x14ac:dyDescent="0.25">
      <c r="A1263" s="5"/>
      <c r="J1263" s="69"/>
    </row>
    <row r="1264" spans="1:10" x14ac:dyDescent="0.25">
      <c r="A1264" s="5"/>
      <c r="J1264" s="69"/>
    </row>
    <row r="1265" spans="1:10" x14ac:dyDescent="0.25">
      <c r="A1265" s="5"/>
      <c r="J1265" s="69"/>
    </row>
    <row r="1266" spans="1:10" x14ac:dyDescent="0.25">
      <c r="A1266" s="5"/>
      <c r="J1266" s="69"/>
    </row>
    <row r="1267" spans="1:10" x14ac:dyDescent="0.25">
      <c r="A1267" s="5"/>
      <c r="J1267" s="69"/>
    </row>
    <row r="1268" spans="1:10" x14ac:dyDescent="0.25">
      <c r="A1268" s="5"/>
      <c r="J1268" s="69"/>
    </row>
    <row r="1269" spans="1:10" x14ac:dyDescent="0.25">
      <c r="A1269" s="5"/>
      <c r="J1269" s="69"/>
    </row>
    <row r="1270" spans="1:10" x14ac:dyDescent="0.25">
      <c r="A1270" s="5"/>
      <c r="J1270" s="69"/>
    </row>
    <row r="1271" spans="1:10" x14ac:dyDescent="0.25">
      <c r="A1271" s="5"/>
      <c r="J1271" s="69"/>
    </row>
    <row r="1272" spans="1:10" x14ac:dyDescent="0.25">
      <c r="A1272" s="5"/>
      <c r="J1272" s="69"/>
    </row>
    <row r="1273" spans="1:10" x14ac:dyDescent="0.25">
      <c r="A1273" s="5"/>
      <c r="J1273" s="69"/>
    </row>
    <row r="1274" spans="1:10" x14ac:dyDescent="0.25">
      <c r="A1274" s="5"/>
      <c r="J1274" s="69"/>
    </row>
    <row r="1275" spans="1:10" x14ac:dyDescent="0.25">
      <c r="A1275" s="5"/>
      <c r="J1275" s="69"/>
    </row>
    <row r="1276" spans="1:10" x14ac:dyDescent="0.25">
      <c r="A1276" s="5"/>
      <c r="J1276" s="69"/>
    </row>
    <row r="1277" spans="1:10" x14ac:dyDescent="0.25">
      <c r="A1277" s="5"/>
      <c r="J1277" s="69"/>
    </row>
    <row r="1278" spans="1:10" x14ac:dyDescent="0.25">
      <c r="A1278" s="5"/>
      <c r="J1278" s="69"/>
    </row>
    <row r="1279" spans="1:10" x14ac:dyDescent="0.25">
      <c r="A1279" s="5"/>
      <c r="J1279" s="69"/>
    </row>
    <row r="1280" spans="1:10" x14ac:dyDescent="0.25">
      <c r="A1280" s="5"/>
      <c r="J1280" s="69"/>
    </row>
    <row r="1281" spans="1:10" x14ac:dyDescent="0.25">
      <c r="A1281" s="5"/>
      <c r="J1281" s="69"/>
    </row>
    <row r="1282" spans="1:10" x14ac:dyDescent="0.25">
      <c r="A1282" s="5"/>
      <c r="J1282" s="69"/>
    </row>
    <row r="1283" spans="1:10" x14ac:dyDescent="0.25">
      <c r="A1283" s="5"/>
      <c r="J1283" s="69"/>
    </row>
    <row r="1284" spans="1:10" x14ac:dyDescent="0.25">
      <c r="A1284" s="5"/>
      <c r="J1284" s="69"/>
    </row>
    <row r="1285" spans="1:10" x14ac:dyDescent="0.25">
      <c r="A1285" s="5"/>
      <c r="J1285" s="69"/>
    </row>
    <row r="1286" spans="1:10" x14ac:dyDescent="0.25">
      <c r="A1286" s="5"/>
      <c r="J1286" s="69"/>
    </row>
    <row r="1287" spans="1:10" x14ac:dyDescent="0.25">
      <c r="A1287" s="5"/>
      <c r="J1287" s="69"/>
    </row>
    <row r="1288" spans="1:10" x14ac:dyDescent="0.25">
      <c r="A1288" s="5"/>
      <c r="J1288" s="69"/>
    </row>
    <row r="1289" spans="1:10" x14ac:dyDescent="0.25">
      <c r="A1289" s="5"/>
      <c r="J1289" s="69"/>
    </row>
    <row r="1290" spans="1:10" x14ac:dyDescent="0.25">
      <c r="A1290" s="5"/>
      <c r="J1290" s="69"/>
    </row>
    <row r="1291" spans="1:10" x14ac:dyDescent="0.25">
      <c r="A1291" s="5"/>
      <c r="J1291" s="69"/>
    </row>
    <row r="1292" spans="1:10" x14ac:dyDescent="0.25">
      <c r="A1292" s="5"/>
      <c r="J1292" s="69"/>
    </row>
    <row r="1293" spans="1:10" x14ac:dyDescent="0.25">
      <c r="A1293" s="5"/>
      <c r="J1293" s="69"/>
    </row>
    <row r="1294" spans="1:10" x14ac:dyDescent="0.25">
      <c r="A1294" s="5"/>
      <c r="J1294" s="69"/>
    </row>
    <row r="1295" spans="1:10" x14ac:dyDescent="0.25">
      <c r="A1295" s="5"/>
      <c r="J1295" s="69"/>
    </row>
    <row r="1296" spans="1:10" x14ac:dyDescent="0.25">
      <c r="A1296" s="5"/>
      <c r="J1296" s="69"/>
    </row>
    <row r="1297" spans="1:10" x14ac:dyDescent="0.25">
      <c r="A1297" s="5"/>
      <c r="J1297" s="69"/>
    </row>
    <row r="1298" spans="1:10" x14ac:dyDescent="0.25">
      <c r="A1298" s="5"/>
      <c r="J1298" s="69"/>
    </row>
    <row r="1299" spans="1:10" x14ac:dyDescent="0.25">
      <c r="A1299" s="5"/>
      <c r="J1299" s="69"/>
    </row>
    <row r="1300" spans="1:10" x14ac:dyDescent="0.25">
      <c r="A1300" s="5"/>
      <c r="J1300" s="69"/>
    </row>
    <row r="1301" spans="1:10" x14ac:dyDescent="0.25">
      <c r="A1301" s="5"/>
      <c r="J1301" s="69"/>
    </row>
    <row r="1302" spans="1:10" x14ac:dyDescent="0.25">
      <c r="A1302" s="5"/>
      <c r="J1302" s="69"/>
    </row>
    <row r="1303" spans="1:10" x14ac:dyDescent="0.25">
      <c r="A1303" s="5"/>
      <c r="J1303" s="69"/>
    </row>
    <row r="1304" spans="1:10" x14ac:dyDescent="0.25">
      <c r="A1304" s="5"/>
      <c r="J1304" s="69"/>
    </row>
    <row r="1305" spans="1:10" x14ac:dyDescent="0.25">
      <c r="A1305" s="5"/>
      <c r="J1305" s="69"/>
    </row>
    <row r="1306" spans="1:10" x14ac:dyDescent="0.25">
      <c r="A1306" s="5"/>
      <c r="J1306" s="69"/>
    </row>
    <row r="1307" spans="1:10" x14ac:dyDescent="0.25">
      <c r="A1307" s="5"/>
      <c r="J1307" s="69"/>
    </row>
    <row r="1308" spans="1:10" x14ac:dyDescent="0.25">
      <c r="A1308" s="5"/>
      <c r="J1308" s="69"/>
    </row>
    <row r="1309" spans="1:10" x14ac:dyDescent="0.25">
      <c r="A1309" s="5"/>
      <c r="J1309" s="69"/>
    </row>
    <row r="1310" spans="1:10" x14ac:dyDescent="0.25">
      <c r="A1310" s="5"/>
      <c r="J1310" s="69"/>
    </row>
    <row r="1311" spans="1:10" x14ac:dyDescent="0.25">
      <c r="A1311" s="5"/>
      <c r="J1311" s="69"/>
    </row>
    <row r="1312" spans="1:10" x14ac:dyDescent="0.25">
      <c r="A1312" s="5"/>
      <c r="J1312" s="69"/>
    </row>
    <row r="1313" spans="1:10" x14ac:dyDescent="0.25">
      <c r="A1313" s="5"/>
      <c r="J1313" s="69"/>
    </row>
    <row r="1314" spans="1:10" x14ac:dyDescent="0.25">
      <c r="A1314" s="5"/>
      <c r="J1314" s="69"/>
    </row>
    <row r="1315" spans="1:10" x14ac:dyDescent="0.25">
      <c r="A1315" s="5"/>
      <c r="J1315" s="69"/>
    </row>
    <row r="1316" spans="1:10" x14ac:dyDescent="0.25">
      <c r="A1316" s="5"/>
      <c r="J1316" s="69"/>
    </row>
    <row r="1317" spans="1:10" x14ac:dyDescent="0.25">
      <c r="A1317" s="5"/>
      <c r="J1317" s="69"/>
    </row>
    <row r="1318" spans="1:10" x14ac:dyDescent="0.25">
      <c r="A1318" s="5"/>
      <c r="J1318" s="69"/>
    </row>
    <row r="1319" spans="1:10" x14ac:dyDescent="0.25">
      <c r="A1319" s="5"/>
      <c r="J1319" s="69"/>
    </row>
    <row r="1320" spans="1:10" x14ac:dyDescent="0.25">
      <c r="A1320" s="5"/>
      <c r="J1320" s="69"/>
    </row>
    <row r="1321" spans="1:10" x14ac:dyDescent="0.25">
      <c r="A1321" s="5"/>
      <c r="J1321" s="69"/>
    </row>
    <row r="1322" spans="1:10" x14ac:dyDescent="0.25">
      <c r="A1322" s="5"/>
      <c r="J1322" s="69"/>
    </row>
    <row r="1323" spans="1:10" x14ac:dyDescent="0.25">
      <c r="A1323" s="5"/>
      <c r="J1323" s="69"/>
    </row>
    <row r="1324" spans="1:10" x14ac:dyDescent="0.25">
      <c r="A1324" s="5"/>
      <c r="J1324" s="69"/>
    </row>
    <row r="1325" spans="1:10" x14ac:dyDescent="0.25">
      <c r="A1325" s="5"/>
      <c r="J1325" s="69"/>
    </row>
    <row r="1326" spans="1:10" x14ac:dyDescent="0.25">
      <c r="A1326" s="5"/>
      <c r="J1326" s="69"/>
    </row>
    <row r="1327" spans="1:10" x14ac:dyDescent="0.25">
      <c r="A1327" s="5"/>
      <c r="J1327" s="69"/>
    </row>
    <row r="1328" spans="1:10" x14ac:dyDescent="0.25">
      <c r="A1328" s="5"/>
      <c r="J1328" s="69"/>
    </row>
    <row r="1329" spans="1:10" x14ac:dyDescent="0.25">
      <c r="A1329" s="5"/>
      <c r="J1329" s="69"/>
    </row>
    <row r="1330" spans="1:10" x14ac:dyDescent="0.25">
      <c r="A1330" s="5"/>
      <c r="J1330" s="69"/>
    </row>
    <row r="1331" spans="1:10" x14ac:dyDescent="0.25">
      <c r="A1331" s="5"/>
      <c r="J1331" s="69"/>
    </row>
    <row r="1332" spans="1:10" x14ac:dyDescent="0.25">
      <c r="A1332" s="5"/>
      <c r="J1332" s="69"/>
    </row>
    <row r="1333" spans="1:10" x14ac:dyDescent="0.25">
      <c r="A1333" s="5"/>
      <c r="J1333" s="69"/>
    </row>
    <row r="1334" spans="1:10" x14ac:dyDescent="0.25">
      <c r="A1334" s="5"/>
      <c r="J1334" s="69"/>
    </row>
    <row r="1335" spans="1:10" x14ac:dyDescent="0.25">
      <c r="A1335" s="5"/>
      <c r="J1335" s="69"/>
    </row>
    <row r="1336" spans="1:10" x14ac:dyDescent="0.25">
      <c r="A1336" s="5"/>
      <c r="J1336" s="69"/>
    </row>
    <row r="1337" spans="1:10" x14ac:dyDescent="0.25">
      <c r="A1337" s="5"/>
      <c r="J1337" s="69"/>
    </row>
    <row r="1338" spans="1:10" x14ac:dyDescent="0.25">
      <c r="A1338" s="5"/>
      <c r="J1338" s="69"/>
    </row>
    <row r="1339" spans="1:10" x14ac:dyDescent="0.25">
      <c r="A1339" s="5"/>
      <c r="J1339" s="69"/>
    </row>
    <row r="1340" spans="1:10" x14ac:dyDescent="0.25">
      <c r="A1340" s="5"/>
      <c r="J1340" s="69"/>
    </row>
    <row r="1341" spans="1:10" x14ac:dyDescent="0.25">
      <c r="A1341" s="5"/>
      <c r="J1341" s="69"/>
    </row>
    <row r="1342" spans="1:10" x14ac:dyDescent="0.25">
      <c r="A1342" s="5"/>
      <c r="J1342" s="69"/>
    </row>
    <row r="1343" spans="1:10" x14ac:dyDescent="0.25">
      <c r="A1343" s="5"/>
      <c r="J1343" s="69"/>
    </row>
    <row r="1344" spans="1:10" x14ac:dyDescent="0.25">
      <c r="A1344" s="5"/>
      <c r="J1344" s="69"/>
    </row>
    <row r="1345" spans="1:10" x14ac:dyDescent="0.25">
      <c r="A1345" s="5"/>
      <c r="J1345" s="69"/>
    </row>
    <row r="1346" spans="1:10" x14ac:dyDescent="0.25">
      <c r="A1346" s="5"/>
      <c r="J1346" s="69"/>
    </row>
    <row r="1347" spans="1:10" x14ac:dyDescent="0.25">
      <c r="A1347" s="5"/>
      <c r="J1347" s="69"/>
    </row>
    <row r="1348" spans="1:10" x14ac:dyDescent="0.25">
      <c r="A1348" s="5"/>
      <c r="J1348" s="69"/>
    </row>
    <row r="1349" spans="1:10" x14ac:dyDescent="0.25">
      <c r="A1349" s="5"/>
      <c r="J1349" s="69"/>
    </row>
    <row r="1350" spans="1:10" x14ac:dyDescent="0.25">
      <c r="A1350" s="5"/>
      <c r="J1350" s="69"/>
    </row>
    <row r="1351" spans="1:10" x14ac:dyDescent="0.25">
      <c r="A1351" s="5"/>
      <c r="J1351" s="69"/>
    </row>
    <row r="1352" spans="1:10" x14ac:dyDescent="0.25">
      <c r="A1352" s="5"/>
      <c r="J1352" s="69"/>
    </row>
    <row r="1353" spans="1:10" x14ac:dyDescent="0.25">
      <c r="A1353" s="5"/>
      <c r="J1353" s="69"/>
    </row>
    <row r="1354" spans="1:10" x14ac:dyDescent="0.25">
      <c r="A1354" s="5"/>
      <c r="J1354" s="69"/>
    </row>
    <row r="1355" spans="1:10" x14ac:dyDescent="0.25">
      <c r="A1355" s="5"/>
      <c r="J1355" s="69"/>
    </row>
    <row r="1356" spans="1:10" x14ac:dyDescent="0.25">
      <c r="A1356" s="5"/>
      <c r="J1356" s="69"/>
    </row>
    <row r="1357" spans="1:10" x14ac:dyDescent="0.25">
      <c r="A1357" s="5"/>
      <c r="J1357" s="69"/>
    </row>
    <row r="1358" spans="1:10" x14ac:dyDescent="0.25">
      <c r="A1358" s="5"/>
      <c r="J1358" s="69"/>
    </row>
    <row r="1359" spans="1:10" x14ac:dyDescent="0.25">
      <c r="A1359" s="5"/>
      <c r="J1359" s="69"/>
    </row>
    <row r="1360" spans="1:10" x14ac:dyDescent="0.25">
      <c r="A1360" s="5"/>
      <c r="J1360" s="69"/>
    </row>
    <row r="1361" spans="1:10" x14ac:dyDescent="0.25">
      <c r="A1361" s="5"/>
      <c r="J1361" s="69"/>
    </row>
    <row r="1362" spans="1:10" x14ac:dyDescent="0.25">
      <c r="A1362" s="5"/>
      <c r="J1362" s="69"/>
    </row>
    <row r="1363" spans="1:10" x14ac:dyDescent="0.25">
      <c r="A1363" s="5"/>
      <c r="J1363" s="69"/>
    </row>
    <row r="1364" spans="1:10" x14ac:dyDescent="0.25">
      <c r="A1364" s="5"/>
      <c r="J1364" s="69"/>
    </row>
    <row r="1365" spans="1:10" x14ac:dyDescent="0.25">
      <c r="A1365" s="5"/>
      <c r="J1365" s="69"/>
    </row>
    <row r="1366" spans="1:10" x14ac:dyDescent="0.25">
      <c r="A1366" s="5"/>
      <c r="J1366" s="69"/>
    </row>
    <row r="1367" spans="1:10" x14ac:dyDescent="0.25">
      <c r="A1367" s="5"/>
      <c r="J1367" s="69"/>
    </row>
    <row r="1368" spans="1:10" x14ac:dyDescent="0.25">
      <c r="A1368" s="5"/>
      <c r="J1368" s="69"/>
    </row>
    <row r="1369" spans="1:10" x14ac:dyDescent="0.25">
      <c r="A1369" s="5"/>
      <c r="J1369" s="69"/>
    </row>
    <row r="1370" spans="1:10" x14ac:dyDescent="0.25">
      <c r="A1370" s="5"/>
      <c r="J1370" s="69"/>
    </row>
    <row r="1371" spans="1:10" x14ac:dyDescent="0.25">
      <c r="A1371" s="5"/>
      <c r="J1371" s="69"/>
    </row>
    <row r="1372" spans="1:10" x14ac:dyDescent="0.25">
      <c r="A1372" s="5"/>
      <c r="J1372" s="69"/>
    </row>
    <row r="1373" spans="1:10" x14ac:dyDescent="0.25">
      <c r="A1373" s="5"/>
      <c r="J1373" s="69"/>
    </row>
    <row r="1374" spans="1:10" x14ac:dyDescent="0.25">
      <c r="A1374" s="5"/>
      <c r="J1374" s="69"/>
    </row>
    <row r="1375" spans="1:10" x14ac:dyDescent="0.25">
      <c r="A1375" s="5"/>
      <c r="J1375" s="69"/>
    </row>
    <row r="1376" spans="1:10" x14ac:dyDescent="0.25">
      <c r="A1376" s="5"/>
      <c r="J1376" s="69"/>
    </row>
    <row r="1377" spans="1:10" x14ac:dyDescent="0.25">
      <c r="A1377" s="5"/>
      <c r="J1377" s="69"/>
    </row>
    <row r="1378" spans="1:10" x14ac:dyDescent="0.25">
      <c r="A1378" s="5"/>
      <c r="J1378" s="69"/>
    </row>
    <row r="1379" spans="1:10" x14ac:dyDescent="0.25">
      <c r="A1379" s="5"/>
      <c r="J1379" s="69"/>
    </row>
    <row r="1380" spans="1:10" x14ac:dyDescent="0.25">
      <c r="A1380" s="5"/>
      <c r="J1380" s="69"/>
    </row>
    <row r="1381" spans="1:10" x14ac:dyDescent="0.25">
      <c r="A1381" s="5"/>
      <c r="J1381" s="69"/>
    </row>
    <row r="1382" spans="1:10" x14ac:dyDescent="0.25">
      <c r="A1382" s="5"/>
      <c r="J1382" s="69"/>
    </row>
    <row r="1383" spans="1:10" x14ac:dyDescent="0.25">
      <c r="A1383" s="5"/>
      <c r="J1383" s="69"/>
    </row>
    <row r="1384" spans="1:10" x14ac:dyDescent="0.25">
      <c r="A1384" s="5"/>
      <c r="J1384" s="69"/>
    </row>
    <row r="1385" spans="1:10" x14ac:dyDescent="0.25">
      <c r="A1385" s="5"/>
      <c r="J1385" s="69"/>
    </row>
    <row r="1386" spans="1:10" x14ac:dyDescent="0.25">
      <c r="A1386" s="5"/>
      <c r="J1386" s="69"/>
    </row>
    <row r="1387" spans="1:10" x14ac:dyDescent="0.25">
      <c r="A1387" s="5"/>
      <c r="J1387" s="69"/>
    </row>
    <row r="1388" spans="1:10" x14ac:dyDescent="0.25">
      <c r="A1388" s="5"/>
      <c r="J1388" s="69"/>
    </row>
    <row r="1389" spans="1:10" x14ac:dyDescent="0.25">
      <c r="A1389" s="5"/>
      <c r="J1389" s="69"/>
    </row>
    <row r="1390" spans="1:10" x14ac:dyDescent="0.25">
      <c r="A1390" s="5"/>
      <c r="J1390" s="69"/>
    </row>
    <row r="1391" spans="1:10" x14ac:dyDescent="0.25">
      <c r="A1391" s="5"/>
      <c r="J1391" s="69"/>
    </row>
    <row r="1392" spans="1:10" x14ac:dyDescent="0.25">
      <c r="A1392" s="5"/>
      <c r="J1392" s="69"/>
    </row>
    <row r="1393" spans="1:10" x14ac:dyDescent="0.25">
      <c r="A1393" s="5"/>
      <c r="J1393" s="69"/>
    </row>
    <row r="1394" spans="1:10" x14ac:dyDescent="0.25">
      <c r="A1394" s="5"/>
      <c r="J1394" s="69"/>
    </row>
    <row r="1395" spans="1:10" x14ac:dyDescent="0.25">
      <c r="A1395" s="5"/>
      <c r="J1395" s="69"/>
    </row>
    <row r="1396" spans="1:10" x14ac:dyDescent="0.25">
      <c r="A1396" s="5"/>
      <c r="J1396" s="69"/>
    </row>
    <row r="1397" spans="1:10" x14ac:dyDescent="0.25">
      <c r="A1397" s="5"/>
      <c r="J1397" s="69"/>
    </row>
    <row r="1398" spans="1:10" x14ac:dyDescent="0.25">
      <c r="A1398" s="5"/>
      <c r="J1398" s="69"/>
    </row>
    <row r="1399" spans="1:10" x14ac:dyDescent="0.25">
      <c r="A1399" s="5"/>
      <c r="J1399" s="69"/>
    </row>
    <row r="1400" spans="1:10" x14ac:dyDescent="0.25">
      <c r="A1400" s="5"/>
      <c r="J1400" s="69"/>
    </row>
    <row r="1401" spans="1:10" x14ac:dyDescent="0.25">
      <c r="A1401" s="5"/>
      <c r="J1401" s="69"/>
    </row>
    <row r="1402" spans="1:10" x14ac:dyDescent="0.25">
      <c r="A1402" s="5"/>
      <c r="J1402" s="69"/>
    </row>
    <row r="1403" spans="1:10" x14ac:dyDescent="0.25">
      <c r="A1403" s="5"/>
      <c r="J1403" s="69"/>
    </row>
    <row r="1404" spans="1:10" x14ac:dyDescent="0.25">
      <c r="A1404" s="5"/>
      <c r="J1404" s="69"/>
    </row>
    <row r="1405" spans="1:10" x14ac:dyDescent="0.25">
      <c r="A1405" s="5"/>
      <c r="J1405" s="69"/>
    </row>
    <row r="1406" spans="1:10" x14ac:dyDescent="0.25">
      <c r="A1406" s="5"/>
      <c r="J1406" s="69"/>
    </row>
    <row r="1407" spans="1:10" x14ac:dyDescent="0.25">
      <c r="A1407" s="5"/>
      <c r="J1407" s="69"/>
    </row>
    <row r="1408" spans="1:10" x14ac:dyDescent="0.25">
      <c r="A1408" s="5"/>
      <c r="J1408" s="69"/>
    </row>
    <row r="1409" spans="1:10" x14ac:dyDescent="0.25">
      <c r="A1409" s="5"/>
      <c r="J1409" s="69"/>
    </row>
    <row r="1410" spans="1:10" x14ac:dyDescent="0.25">
      <c r="A1410" s="5"/>
      <c r="J1410" s="69"/>
    </row>
    <row r="1411" spans="1:10" x14ac:dyDescent="0.25">
      <c r="A1411" s="5"/>
      <c r="J1411" s="69"/>
    </row>
    <row r="1412" spans="1:10" x14ac:dyDescent="0.25">
      <c r="A1412" s="5"/>
      <c r="J1412" s="69"/>
    </row>
    <row r="1413" spans="1:10" x14ac:dyDescent="0.25">
      <c r="A1413" s="5"/>
      <c r="J1413" s="69"/>
    </row>
    <row r="1414" spans="1:10" x14ac:dyDescent="0.25">
      <c r="A1414" s="5"/>
      <c r="J1414" s="69"/>
    </row>
    <row r="1415" spans="1:10" x14ac:dyDescent="0.25">
      <c r="A1415" s="5"/>
      <c r="J1415" s="69"/>
    </row>
    <row r="1416" spans="1:10" x14ac:dyDescent="0.25">
      <c r="A1416" s="5"/>
      <c r="J1416" s="69"/>
    </row>
    <row r="1417" spans="1:10" x14ac:dyDescent="0.25">
      <c r="A1417" s="5"/>
      <c r="J1417" s="69"/>
    </row>
    <row r="1418" spans="1:10" x14ac:dyDescent="0.25">
      <c r="A1418" s="5"/>
      <c r="J1418" s="69"/>
    </row>
    <row r="1419" spans="1:10" x14ac:dyDescent="0.25">
      <c r="A1419" s="5"/>
      <c r="J1419" s="69"/>
    </row>
    <row r="1420" spans="1:10" x14ac:dyDescent="0.25">
      <c r="A1420" s="5"/>
      <c r="J1420" s="69"/>
    </row>
    <row r="1421" spans="1:10" x14ac:dyDescent="0.25">
      <c r="A1421" s="5"/>
      <c r="J1421" s="69"/>
    </row>
    <row r="1422" spans="1:10" x14ac:dyDescent="0.25">
      <c r="A1422" s="5"/>
      <c r="J1422" s="69"/>
    </row>
    <row r="1423" spans="1:10" x14ac:dyDescent="0.25">
      <c r="A1423" s="5"/>
      <c r="J1423" s="69"/>
    </row>
    <row r="1424" spans="1:10" x14ac:dyDescent="0.25">
      <c r="A1424" s="5"/>
      <c r="J1424" s="69"/>
    </row>
    <row r="1425" spans="1:10" x14ac:dyDescent="0.25">
      <c r="A1425" s="5"/>
      <c r="J1425" s="69"/>
    </row>
    <row r="1426" spans="1:10" x14ac:dyDescent="0.25">
      <c r="A1426" s="5"/>
      <c r="J1426" s="69"/>
    </row>
    <row r="1427" spans="1:10" x14ac:dyDescent="0.25">
      <c r="A1427" s="5"/>
      <c r="J1427" s="69"/>
    </row>
    <row r="1428" spans="1:10" x14ac:dyDescent="0.25">
      <c r="A1428" s="5"/>
      <c r="J1428" s="69"/>
    </row>
    <row r="1429" spans="1:10" x14ac:dyDescent="0.25">
      <c r="A1429" s="5"/>
      <c r="J1429" s="69"/>
    </row>
    <row r="1430" spans="1:10" x14ac:dyDescent="0.25">
      <c r="A1430" s="5"/>
      <c r="J1430" s="69"/>
    </row>
    <row r="1431" spans="1:10" x14ac:dyDescent="0.25">
      <c r="A1431" s="5"/>
      <c r="J1431" s="69"/>
    </row>
    <row r="1432" spans="1:10" x14ac:dyDescent="0.25">
      <c r="A1432" s="5"/>
      <c r="J1432" s="69"/>
    </row>
    <row r="1433" spans="1:10" x14ac:dyDescent="0.25">
      <c r="A1433" s="5"/>
      <c r="J1433" s="69"/>
    </row>
    <row r="1434" spans="1:10" x14ac:dyDescent="0.25">
      <c r="A1434" s="5"/>
      <c r="J1434" s="69"/>
    </row>
    <row r="1435" spans="1:10" x14ac:dyDescent="0.25">
      <c r="A1435" s="5"/>
      <c r="J1435" s="69"/>
    </row>
    <row r="1436" spans="1:10" x14ac:dyDescent="0.25">
      <c r="A1436" s="5"/>
      <c r="J1436" s="69"/>
    </row>
    <row r="1437" spans="1:10" x14ac:dyDescent="0.25">
      <c r="A1437" s="5"/>
      <c r="J1437" s="69"/>
    </row>
    <row r="1438" spans="1:10" x14ac:dyDescent="0.25">
      <c r="A1438" s="5"/>
      <c r="J1438" s="69"/>
    </row>
    <row r="1439" spans="1:10" x14ac:dyDescent="0.25">
      <c r="A1439" s="5"/>
      <c r="J1439" s="69"/>
    </row>
    <row r="1440" spans="1:10" x14ac:dyDescent="0.25">
      <c r="A1440" s="5"/>
      <c r="J1440" s="69"/>
    </row>
    <row r="1441" spans="1:10" x14ac:dyDescent="0.25">
      <c r="A1441" s="5"/>
      <c r="J1441" s="69"/>
    </row>
    <row r="1442" spans="1:10" x14ac:dyDescent="0.25">
      <c r="A1442" s="5"/>
      <c r="J1442" s="69"/>
    </row>
    <row r="1443" spans="1:10" x14ac:dyDescent="0.25">
      <c r="A1443" s="5"/>
      <c r="J1443" s="69"/>
    </row>
    <row r="1444" spans="1:10" x14ac:dyDescent="0.25">
      <c r="A1444" s="5"/>
      <c r="J1444" s="69"/>
    </row>
    <row r="1445" spans="1:10" x14ac:dyDescent="0.25">
      <c r="A1445" s="5"/>
      <c r="J1445" s="69"/>
    </row>
    <row r="1446" spans="1:10" x14ac:dyDescent="0.25">
      <c r="A1446" s="5"/>
      <c r="J1446" s="69"/>
    </row>
    <row r="1447" spans="1:10" x14ac:dyDescent="0.25">
      <c r="A1447" s="5"/>
      <c r="J1447" s="69"/>
    </row>
    <row r="1448" spans="1:10" x14ac:dyDescent="0.25">
      <c r="A1448" s="5"/>
      <c r="J1448" s="69"/>
    </row>
    <row r="1449" spans="1:10" x14ac:dyDescent="0.25">
      <c r="A1449" s="5"/>
      <c r="J1449" s="69"/>
    </row>
    <row r="1450" spans="1:10" x14ac:dyDescent="0.25">
      <c r="A1450" s="5"/>
      <c r="J1450" s="69"/>
    </row>
    <row r="1451" spans="1:10" x14ac:dyDescent="0.25">
      <c r="A1451" s="5"/>
      <c r="J1451" s="69"/>
    </row>
    <row r="1452" spans="1:10" x14ac:dyDescent="0.25">
      <c r="A1452" s="5"/>
      <c r="J1452" s="69"/>
    </row>
    <row r="1453" spans="1:10" x14ac:dyDescent="0.25">
      <c r="A1453" s="5"/>
      <c r="J1453" s="69"/>
    </row>
    <row r="1454" spans="1:10" x14ac:dyDescent="0.25">
      <c r="A1454" s="5"/>
      <c r="J1454" s="69"/>
    </row>
    <row r="1455" spans="1:10" x14ac:dyDescent="0.25">
      <c r="A1455" s="5"/>
      <c r="J1455" s="69"/>
    </row>
    <row r="1456" spans="1:10" x14ac:dyDescent="0.25">
      <c r="A1456" s="5"/>
      <c r="J1456" s="69"/>
    </row>
    <row r="1457" spans="1:10" x14ac:dyDescent="0.25">
      <c r="A1457" s="5"/>
      <c r="J1457" s="69"/>
    </row>
    <row r="1458" spans="1:10" x14ac:dyDescent="0.25">
      <c r="A1458" s="5"/>
      <c r="J1458" s="69"/>
    </row>
    <row r="1459" spans="1:10" x14ac:dyDescent="0.25">
      <c r="A1459" s="5"/>
      <c r="J1459" s="69"/>
    </row>
    <row r="1460" spans="1:10" x14ac:dyDescent="0.25">
      <c r="A1460" s="5"/>
      <c r="J1460" s="69"/>
    </row>
    <row r="1461" spans="1:10" x14ac:dyDescent="0.25">
      <c r="A1461" s="5"/>
      <c r="J1461" s="69"/>
    </row>
    <row r="1462" spans="1:10" x14ac:dyDescent="0.25">
      <c r="A1462" s="5"/>
      <c r="J1462" s="69"/>
    </row>
    <row r="1463" spans="1:10" x14ac:dyDescent="0.25">
      <c r="A1463" s="5"/>
      <c r="J1463" s="69"/>
    </row>
    <row r="1464" spans="1:10" x14ac:dyDescent="0.25">
      <c r="A1464" s="5"/>
      <c r="J1464" s="69"/>
    </row>
    <row r="1465" spans="1:10" x14ac:dyDescent="0.25">
      <c r="A1465" s="5"/>
      <c r="J1465" s="69"/>
    </row>
    <row r="1466" spans="1:10" x14ac:dyDescent="0.25">
      <c r="A1466" s="5"/>
      <c r="J1466" s="69"/>
    </row>
    <row r="1467" spans="1:10" x14ac:dyDescent="0.25">
      <c r="A1467" s="5"/>
      <c r="J1467" s="69"/>
    </row>
    <row r="1468" spans="1:10" x14ac:dyDescent="0.25">
      <c r="A1468" s="5"/>
      <c r="J1468" s="69"/>
    </row>
    <row r="1469" spans="1:10" x14ac:dyDescent="0.25">
      <c r="A1469" s="5"/>
      <c r="J1469" s="69"/>
    </row>
    <row r="1470" spans="1:10" x14ac:dyDescent="0.25">
      <c r="A1470" s="5"/>
      <c r="J1470" s="69"/>
    </row>
    <row r="1471" spans="1:10" x14ac:dyDescent="0.25">
      <c r="A1471" s="5"/>
      <c r="J1471" s="69"/>
    </row>
    <row r="1472" spans="1:10" x14ac:dyDescent="0.25">
      <c r="A1472" s="5"/>
      <c r="J1472" s="69"/>
    </row>
    <row r="1473" spans="1:10" x14ac:dyDescent="0.25">
      <c r="A1473" s="5"/>
      <c r="J1473" s="69"/>
    </row>
    <row r="1474" spans="1:10" x14ac:dyDescent="0.25">
      <c r="A1474" s="5"/>
      <c r="J1474" s="69"/>
    </row>
    <row r="1475" spans="1:10" x14ac:dyDescent="0.25">
      <c r="A1475" s="5"/>
      <c r="J1475" s="69"/>
    </row>
    <row r="1476" spans="1:10" x14ac:dyDescent="0.25">
      <c r="A1476" s="5"/>
      <c r="J1476" s="69"/>
    </row>
    <row r="1477" spans="1:10" x14ac:dyDescent="0.25">
      <c r="A1477" s="5"/>
      <c r="J1477" s="69"/>
    </row>
    <row r="1478" spans="1:10" x14ac:dyDescent="0.25">
      <c r="A1478" s="5"/>
      <c r="J1478" s="69"/>
    </row>
    <row r="1479" spans="1:10" x14ac:dyDescent="0.25">
      <c r="A1479" s="5"/>
      <c r="J1479" s="69"/>
    </row>
    <row r="1480" spans="1:10" x14ac:dyDescent="0.25">
      <c r="A1480" s="5"/>
      <c r="J1480" s="69"/>
    </row>
    <row r="1481" spans="1:10" x14ac:dyDescent="0.25">
      <c r="A1481" s="5"/>
      <c r="J1481" s="69"/>
    </row>
    <row r="1482" spans="1:10" x14ac:dyDescent="0.25">
      <c r="A1482" s="5"/>
      <c r="J1482" s="69"/>
    </row>
    <row r="1483" spans="1:10" x14ac:dyDescent="0.25">
      <c r="A1483" s="5"/>
      <c r="J1483" s="69"/>
    </row>
    <row r="1484" spans="1:10" x14ac:dyDescent="0.25">
      <c r="A1484" s="5"/>
      <c r="J1484" s="69"/>
    </row>
    <row r="1485" spans="1:10" x14ac:dyDescent="0.25">
      <c r="A1485" s="5"/>
      <c r="J1485" s="69"/>
    </row>
    <row r="1486" spans="1:10" x14ac:dyDescent="0.25">
      <c r="A1486" s="5"/>
      <c r="J1486" s="69"/>
    </row>
    <row r="1487" spans="1:10" x14ac:dyDescent="0.25">
      <c r="A1487" s="5"/>
      <c r="J1487" s="69"/>
    </row>
    <row r="1488" spans="1:10" x14ac:dyDescent="0.25">
      <c r="A1488" s="5"/>
      <c r="J1488" s="69"/>
    </row>
    <row r="1489" spans="1:10" x14ac:dyDescent="0.25">
      <c r="A1489" s="5"/>
      <c r="J1489" s="69"/>
    </row>
    <row r="1490" spans="1:10" x14ac:dyDescent="0.25">
      <c r="A1490" s="5"/>
      <c r="J1490" s="69"/>
    </row>
    <row r="1491" spans="1:10" x14ac:dyDescent="0.25">
      <c r="A1491" s="5"/>
      <c r="J1491" s="69"/>
    </row>
    <row r="1492" spans="1:10" x14ac:dyDescent="0.25">
      <c r="A1492" s="5"/>
      <c r="J1492" s="69"/>
    </row>
    <row r="1493" spans="1:10" x14ac:dyDescent="0.25">
      <c r="A1493" s="5"/>
      <c r="J1493" s="69"/>
    </row>
    <row r="1494" spans="1:10" x14ac:dyDescent="0.25">
      <c r="A1494" s="5"/>
      <c r="J1494" s="69"/>
    </row>
    <row r="1495" spans="1:10" x14ac:dyDescent="0.25">
      <c r="A1495" s="5"/>
      <c r="J1495" s="69"/>
    </row>
    <row r="1496" spans="1:10" x14ac:dyDescent="0.25">
      <c r="A1496" s="5"/>
      <c r="J1496" s="69"/>
    </row>
    <row r="1497" spans="1:10" x14ac:dyDescent="0.25">
      <c r="A1497" s="5"/>
      <c r="J1497" s="69"/>
    </row>
    <row r="1498" spans="1:10" x14ac:dyDescent="0.25">
      <c r="A1498" s="5"/>
      <c r="J1498" s="69"/>
    </row>
    <row r="1499" spans="1:10" x14ac:dyDescent="0.25">
      <c r="A1499" s="5"/>
      <c r="J1499" s="69"/>
    </row>
    <row r="1500" spans="1:10" x14ac:dyDescent="0.25">
      <c r="A1500" s="5"/>
      <c r="J1500" s="69"/>
    </row>
  </sheetData>
  <dataValidations count="1">
    <dataValidation type="list" allowBlank="1" showInputMessage="1" showErrorMessage="1" sqref="A2:A1500" xr:uid="{600F0BA6-19DD-4534-93D2-796C50F75444}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2989-A651-43AC-9629-8901BA709A11}">
  <sheetPr codeName="Sheet20">
    <tabColor rgb="FF2F5496"/>
  </sheetPr>
  <dimension ref="A1:W36"/>
  <sheetViews>
    <sheetView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11" sqref="I11"/>
    </sheetView>
  </sheetViews>
  <sheetFormatPr defaultRowHeight="15" x14ac:dyDescent="0.25"/>
  <cols>
    <col min="1" max="3" width="15.7109375" customWidth="1"/>
    <col min="4" max="18" width="6.7109375" customWidth="1"/>
  </cols>
  <sheetData>
    <row r="1" spans="1:23" ht="18" customHeight="1" x14ac:dyDescent="0.25">
      <c r="A1" s="85" t="s">
        <v>1627</v>
      </c>
      <c r="B1" s="81"/>
      <c r="C1" s="81"/>
      <c r="E1" s="27" t="s">
        <v>1534</v>
      </c>
      <c r="F1" s="28" t="s">
        <v>1571</v>
      </c>
      <c r="G1" s="28" t="s">
        <v>1626</v>
      </c>
    </row>
    <row r="2" spans="1:23" ht="48" customHeight="1" x14ac:dyDescent="0.25">
      <c r="A2" s="35"/>
      <c r="B2" s="26"/>
      <c r="C2" s="25"/>
    </row>
    <row r="3" spans="1:23" ht="30" customHeight="1" x14ac:dyDescent="0.25">
      <c r="A3" s="44" t="s">
        <v>1540</v>
      </c>
      <c r="B3" s="44" t="s">
        <v>1531</v>
      </c>
      <c r="C3" s="44" t="s">
        <v>1541</v>
      </c>
      <c r="D3" s="39" t="s">
        <v>1928</v>
      </c>
      <c r="E3" s="39" t="s">
        <v>1928</v>
      </c>
      <c r="F3" s="39" t="s">
        <v>1928</v>
      </c>
      <c r="G3" s="36" t="s">
        <v>1510</v>
      </c>
      <c r="H3" s="37" t="s">
        <v>1509</v>
      </c>
      <c r="I3" s="38" t="s">
        <v>1542</v>
      </c>
      <c r="J3" s="39" t="s">
        <v>1521</v>
      </c>
      <c r="K3" s="39" t="s">
        <v>1522</v>
      </c>
      <c r="L3" s="36" t="s">
        <v>1510</v>
      </c>
      <c r="M3" s="37" t="s">
        <v>1509</v>
      </c>
      <c r="N3" s="38" t="s">
        <v>1542</v>
      </c>
      <c r="O3" s="39" t="s">
        <v>1521</v>
      </c>
      <c r="P3" s="39" t="s">
        <v>1522</v>
      </c>
      <c r="Q3" s="36" t="s">
        <v>1510</v>
      </c>
      <c r="R3" s="37" t="s">
        <v>1509</v>
      </c>
      <c r="S3" s="104"/>
      <c r="T3" s="104"/>
      <c r="U3" s="104"/>
      <c r="V3" s="104"/>
      <c r="W3" s="104"/>
    </row>
    <row r="4" spans="1:23" ht="20.100000000000001" customHeight="1" thickBot="1" x14ac:dyDescent="0.3">
      <c r="A4" s="44"/>
      <c r="B4" s="44"/>
      <c r="C4" s="44"/>
      <c r="D4" s="103">
        <v>46209</v>
      </c>
      <c r="E4" s="103">
        <v>46216</v>
      </c>
      <c r="F4" s="103">
        <v>46223</v>
      </c>
      <c r="G4" s="103">
        <v>46230</v>
      </c>
      <c r="H4" s="103">
        <v>46237</v>
      </c>
      <c r="I4" s="103">
        <v>46244</v>
      </c>
      <c r="J4" s="103">
        <v>46251</v>
      </c>
      <c r="K4" s="103">
        <v>46258</v>
      </c>
      <c r="L4" s="103">
        <v>46265</v>
      </c>
      <c r="M4" s="103">
        <v>46272</v>
      </c>
      <c r="N4" s="103">
        <v>46279</v>
      </c>
      <c r="O4" s="103">
        <v>46286</v>
      </c>
      <c r="P4" s="103">
        <v>46293</v>
      </c>
      <c r="Q4" s="103">
        <v>46300</v>
      </c>
      <c r="R4" s="103">
        <v>46307</v>
      </c>
      <c r="S4" s="104"/>
      <c r="T4" s="104"/>
      <c r="U4" s="104"/>
      <c r="V4" s="104"/>
      <c r="W4" s="104"/>
    </row>
    <row r="5" spans="1:23" ht="24" customHeight="1" thickTop="1" thickBot="1" x14ac:dyDescent="0.3">
      <c r="A5" s="40" t="s">
        <v>39</v>
      </c>
      <c r="B5" s="40">
        <v>300</v>
      </c>
      <c r="C5" s="41" t="s">
        <v>1505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4"/>
      <c r="O5" s="107"/>
      <c r="P5" s="104"/>
      <c r="Q5" s="104"/>
      <c r="R5" s="78">
        <v>1</v>
      </c>
      <c r="S5" s="104"/>
      <c r="T5" s="104"/>
      <c r="U5" s="104"/>
      <c r="V5" s="104"/>
      <c r="W5" s="104"/>
    </row>
    <row r="6" spans="1:23" ht="24" customHeight="1" thickTop="1" thickBot="1" x14ac:dyDescent="0.3">
      <c r="A6" s="40" t="s">
        <v>39</v>
      </c>
      <c r="B6" s="40">
        <v>200</v>
      </c>
      <c r="C6" s="41" t="s">
        <v>2231</v>
      </c>
      <c r="D6" s="104"/>
      <c r="E6" s="104"/>
      <c r="F6" s="107"/>
      <c r="G6" s="107"/>
      <c r="H6" s="104"/>
      <c r="I6" s="104"/>
      <c r="J6" s="104"/>
      <c r="K6" s="107"/>
      <c r="L6" s="119"/>
      <c r="M6" s="104"/>
      <c r="N6" s="104"/>
      <c r="O6" s="112">
        <v>1</v>
      </c>
      <c r="P6" s="110"/>
      <c r="Q6" s="104"/>
      <c r="R6" s="104"/>
      <c r="S6" s="104"/>
      <c r="T6" s="104"/>
      <c r="U6" s="104"/>
      <c r="V6" s="104"/>
      <c r="W6" s="104"/>
    </row>
    <row r="7" spans="1:23" ht="24" customHeight="1" thickTop="1" thickBot="1" x14ac:dyDescent="0.3">
      <c r="A7" s="40" t="s">
        <v>39</v>
      </c>
      <c r="B7" s="40">
        <v>173.91666666666666</v>
      </c>
      <c r="C7" s="41" t="s">
        <v>2240</v>
      </c>
      <c r="D7" s="107"/>
      <c r="E7" s="107"/>
      <c r="F7" s="107"/>
      <c r="G7" s="107"/>
      <c r="H7" s="107"/>
      <c r="I7" s="107"/>
      <c r="J7" s="107"/>
      <c r="K7" s="107"/>
      <c r="L7" s="107"/>
      <c r="M7" s="104"/>
      <c r="N7" s="104"/>
      <c r="O7" s="107"/>
      <c r="P7" s="107"/>
      <c r="Q7" s="78">
        <v>1</v>
      </c>
      <c r="R7" s="104"/>
      <c r="S7" s="104"/>
      <c r="T7" s="104"/>
      <c r="U7" s="104"/>
      <c r="V7" s="104"/>
      <c r="W7" s="104"/>
    </row>
    <row r="8" spans="1:23" ht="24" customHeight="1" thickTop="1" thickBot="1" x14ac:dyDescent="0.3">
      <c r="A8" s="42" t="s">
        <v>118</v>
      </c>
      <c r="B8" s="42">
        <v>600</v>
      </c>
      <c r="C8" s="41" t="s">
        <v>1515</v>
      </c>
      <c r="D8" s="94">
        <v>1</v>
      </c>
      <c r="E8" s="110"/>
      <c r="F8" s="110"/>
      <c r="G8" s="107"/>
      <c r="H8" s="104"/>
      <c r="I8" s="104"/>
      <c r="J8" s="104"/>
      <c r="K8" s="107"/>
      <c r="L8" s="107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</row>
    <row r="9" spans="1:23" ht="24" customHeight="1" thickTop="1" thickBot="1" x14ac:dyDescent="0.3">
      <c r="A9" s="42" t="s">
        <v>118</v>
      </c>
      <c r="B9" s="42">
        <v>200</v>
      </c>
      <c r="C9" s="41" t="s">
        <v>1450</v>
      </c>
      <c r="D9" s="107"/>
      <c r="E9" s="104"/>
      <c r="F9" s="104"/>
      <c r="G9" s="104"/>
      <c r="H9" s="104"/>
      <c r="I9" s="104"/>
      <c r="J9" s="113">
        <v>4</v>
      </c>
      <c r="K9" s="110"/>
      <c r="L9" s="107"/>
      <c r="M9" s="107"/>
      <c r="N9" s="104"/>
      <c r="O9" s="113">
        <v>8</v>
      </c>
      <c r="P9" s="115"/>
      <c r="Q9" s="15">
        <v>3</v>
      </c>
      <c r="R9" s="107"/>
      <c r="S9" s="104"/>
      <c r="T9" s="104"/>
      <c r="U9" s="104"/>
      <c r="V9" s="104"/>
      <c r="W9" s="104"/>
    </row>
    <row r="10" spans="1:23" ht="24" customHeight="1" thickTop="1" x14ac:dyDescent="0.25">
      <c r="A10" s="42" t="s">
        <v>118</v>
      </c>
      <c r="B10" s="42">
        <v>150</v>
      </c>
      <c r="C10" s="41" t="s">
        <v>1451</v>
      </c>
      <c r="D10" s="94">
        <v>4</v>
      </c>
      <c r="E10" s="110"/>
      <c r="F10" s="110"/>
      <c r="G10" s="107"/>
      <c r="H10" s="107"/>
      <c r="I10" s="107"/>
      <c r="J10" s="113">
        <v>1</v>
      </c>
      <c r="K10" s="110"/>
      <c r="L10" s="107"/>
      <c r="M10" s="107"/>
      <c r="N10" s="107"/>
      <c r="O10" s="113">
        <v>2</v>
      </c>
      <c r="P10" s="110"/>
      <c r="Q10" s="107"/>
      <c r="R10" s="107"/>
      <c r="S10" s="104"/>
      <c r="T10" s="104"/>
      <c r="U10" s="104"/>
      <c r="V10" s="104"/>
      <c r="W10" s="104"/>
    </row>
    <row r="11" spans="1:23" ht="24" customHeight="1" thickBot="1" x14ac:dyDescent="0.3">
      <c r="A11" s="42" t="s">
        <v>118</v>
      </c>
      <c r="B11" s="42">
        <v>125</v>
      </c>
      <c r="C11" s="41" t="s">
        <v>2241</v>
      </c>
      <c r="D11" s="107"/>
      <c r="E11" s="104"/>
      <c r="F11" s="107"/>
      <c r="G11" s="107"/>
      <c r="H11" s="104"/>
      <c r="I11" s="104"/>
      <c r="J11" s="104"/>
      <c r="K11" s="107"/>
      <c r="L11" s="107"/>
      <c r="M11" s="107"/>
      <c r="N11" s="104"/>
      <c r="O11" s="104"/>
      <c r="P11" s="104"/>
      <c r="Q11" s="108">
        <v>1</v>
      </c>
      <c r="R11" s="107"/>
      <c r="S11" s="104"/>
      <c r="T11" s="104"/>
      <c r="U11" s="104"/>
      <c r="V11" s="104"/>
      <c r="W11" s="104"/>
    </row>
    <row r="12" spans="1:23" ht="24" customHeight="1" thickTop="1" thickBot="1" x14ac:dyDescent="0.3">
      <c r="A12" s="42" t="s">
        <v>118</v>
      </c>
      <c r="B12" s="42">
        <v>100</v>
      </c>
      <c r="C12" s="41" t="s">
        <v>1452</v>
      </c>
      <c r="D12" s="107"/>
      <c r="E12" s="107"/>
      <c r="F12" s="107"/>
      <c r="G12" s="107"/>
      <c r="H12" s="107"/>
      <c r="I12" s="107"/>
      <c r="J12" s="107"/>
      <c r="K12" s="107"/>
      <c r="L12" s="104"/>
      <c r="M12" s="104"/>
      <c r="N12" s="15">
        <v>3</v>
      </c>
      <c r="O12" s="88">
        <v>18</v>
      </c>
      <c r="P12" s="110"/>
      <c r="Q12" s="104"/>
      <c r="R12" s="104"/>
      <c r="S12" s="104"/>
      <c r="T12" s="104"/>
      <c r="U12" s="104"/>
      <c r="V12" s="104"/>
      <c r="W12" s="104"/>
    </row>
    <row r="13" spans="1:23" ht="24" customHeight="1" thickTop="1" thickBot="1" x14ac:dyDescent="0.3">
      <c r="A13" s="42" t="s">
        <v>118</v>
      </c>
      <c r="B13" s="42">
        <v>70</v>
      </c>
      <c r="C13" s="41" t="s">
        <v>1812</v>
      </c>
      <c r="D13" s="107"/>
      <c r="E13" s="107"/>
      <c r="F13" s="107"/>
      <c r="G13" s="108">
        <v>1</v>
      </c>
      <c r="H13" s="107"/>
      <c r="I13" s="107"/>
      <c r="J13" s="107"/>
      <c r="K13" s="107"/>
      <c r="L13" s="107"/>
      <c r="M13" s="107"/>
      <c r="N13" s="104"/>
      <c r="O13" s="104"/>
      <c r="P13" s="104"/>
      <c r="Q13" s="104"/>
      <c r="R13" s="107"/>
      <c r="S13" s="104"/>
      <c r="T13" s="104"/>
      <c r="U13" s="104"/>
      <c r="V13" s="104"/>
      <c r="W13" s="104"/>
    </row>
    <row r="14" spans="1:23" ht="24" customHeight="1" thickTop="1" thickBot="1" x14ac:dyDescent="0.3">
      <c r="A14" s="42" t="s">
        <v>118</v>
      </c>
      <c r="B14" s="42">
        <v>50</v>
      </c>
      <c r="C14" s="41" t="s">
        <v>1453</v>
      </c>
      <c r="D14" s="107"/>
      <c r="E14" s="107"/>
      <c r="F14" s="107"/>
      <c r="G14" s="108">
        <v>1</v>
      </c>
      <c r="H14" s="15">
        <v>1</v>
      </c>
      <c r="I14" s="107"/>
      <c r="J14" s="113">
        <v>7</v>
      </c>
      <c r="K14" s="110"/>
      <c r="L14" s="107"/>
      <c r="M14" s="15">
        <v>1</v>
      </c>
      <c r="N14" s="108">
        <v>1</v>
      </c>
      <c r="O14" s="104"/>
      <c r="P14" s="107"/>
      <c r="Q14" s="15">
        <v>1</v>
      </c>
      <c r="R14" s="107"/>
      <c r="S14" s="104"/>
      <c r="T14" s="104"/>
      <c r="U14" s="104"/>
      <c r="V14" s="104"/>
      <c r="W14" s="104"/>
    </row>
    <row r="15" spans="1:23" ht="24" customHeight="1" thickTop="1" thickBot="1" x14ac:dyDescent="0.3">
      <c r="A15" s="42" t="s">
        <v>118</v>
      </c>
      <c r="B15" s="42">
        <v>25</v>
      </c>
      <c r="C15" s="41" t="s">
        <v>1454</v>
      </c>
      <c r="D15" s="94">
        <v>3</v>
      </c>
      <c r="E15" s="110"/>
      <c r="F15" s="115"/>
      <c r="G15" s="15">
        <v>1</v>
      </c>
      <c r="H15" s="108">
        <v>5</v>
      </c>
      <c r="I15" s="107"/>
      <c r="J15" s="113">
        <v>3</v>
      </c>
      <c r="K15" s="115"/>
      <c r="L15" s="15">
        <v>1</v>
      </c>
      <c r="M15" s="108">
        <v>5</v>
      </c>
      <c r="N15" s="107"/>
      <c r="O15" s="113">
        <v>4</v>
      </c>
      <c r="P15" s="115"/>
      <c r="Q15" s="15">
        <v>1</v>
      </c>
      <c r="R15" s="108">
        <v>4</v>
      </c>
      <c r="S15" s="104"/>
      <c r="T15" s="104"/>
      <c r="U15" s="104"/>
      <c r="V15" s="104"/>
      <c r="W15" s="104"/>
    </row>
    <row r="16" spans="1:23" ht="24" customHeight="1" thickTop="1" thickBot="1" x14ac:dyDescent="0.3">
      <c r="A16" s="42" t="s">
        <v>118</v>
      </c>
      <c r="B16" s="42">
        <v>12.5</v>
      </c>
      <c r="C16" s="41" t="s">
        <v>1506</v>
      </c>
      <c r="D16" s="107"/>
      <c r="E16" s="107"/>
      <c r="F16" s="107"/>
      <c r="G16" s="15">
        <v>1</v>
      </c>
      <c r="H16" s="15">
        <v>1</v>
      </c>
      <c r="I16" s="107"/>
      <c r="J16" s="107"/>
      <c r="K16" s="107"/>
      <c r="L16" s="15">
        <v>1</v>
      </c>
      <c r="M16" s="15">
        <v>1</v>
      </c>
      <c r="N16" s="107"/>
      <c r="O16" s="107"/>
      <c r="P16" s="107"/>
      <c r="Q16" s="15">
        <v>1</v>
      </c>
      <c r="R16" s="15">
        <v>1</v>
      </c>
      <c r="S16" s="104"/>
      <c r="T16" s="104"/>
      <c r="U16" s="104"/>
      <c r="V16" s="104"/>
      <c r="W16" s="104"/>
    </row>
    <row r="17" spans="1:23" ht="24" customHeight="1" thickTop="1" thickBot="1" x14ac:dyDescent="0.3">
      <c r="A17" s="43" t="s">
        <v>1225</v>
      </c>
      <c r="B17" s="43">
        <v>728</v>
      </c>
      <c r="C17" s="41" t="s">
        <v>1455</v>
      </c>
      <c r="D17" s="92">
        <v>7</v>
      </c>
      <c r="E17" s="110"/>
      <c r="F17" s="110"/>
      <c r="G17" s="104"/>
      <c r="H17" s="107"/>
      <c r="I17" s="107"/>
      <c r="J17" s="104"/>
      <c r="K17" s="107"/>
      <c r="L17" s="107"/>
      <c r="M17" s="107"/>
      <c r="N17" s="107"/>
      <c r="O17" s="107"/>
      <c r="P17" s="107"/>
      <c r="Q17" s="104"/>
      <c r="R17" s="107"/>
      <c r="S17" s="104"/>
      <c r="T17" s="104"/>
      <c r="U17" s="104"/>
      <c r="V17" s="104"/>
      <c r="W17" s="104"/>
    </row>
    <row r="18" spans="1:23" ht="24" customHeight="1" thickTop="1" thickBot="1" x14ac:dyDescent="0.3">
      <c r="A18" s="43" t="s">
        <v>1225</v>
      </c>
      <c r="B18" s="43">
        <v>365</v>
      </c>
      <c r="C18" s="41" t="s">
        <v>1508</v>
      </c>
      <c r="D18" s="90">
        <v>1</v>
      </c>
      <c r="E18" s="114"/>
      <c r="F18" s="114"/>
      <c r="G18" s="107"/>
      <c r="H18" s="104"/>
      <c r="I18" s="104"/>
      <c r="J18" s="104"/>
      <c r="K18" s="107"/>
      <c r="L18" s="107"/>
      <c r="M18" s="104"/>
      <c r="N18" s="107"/>
      <c r="O18" s="104"/>
      <c r="P18" s="107"/>
      <c r="Q18" s="107"/>
      <c r="R18" s="14">
        <v>1</v>
      </c>
      <c r="S18" s="104"/>
      <c r="T18" s="104"/>
      <c r="U18" s="104"/>
      <c r="V18" s="104"/>
      <c r="W18" s="104"/>
    </row>
    <row r="19" spans="1:23" ht="24" customHeight="1" thickTop="1" thickBot="1" x14ac:dyDescent="0.3">
      <c r="A19" s="43" t="s">
        <v>1225</v>
      </c>
      <c r="B19" s="43">
        <v>364</v>
      </c>
      <c r="C19" s="41" t="s">
        <v>1456</v>
      </c>
      <c r="D19" s="93">
        <v>15</v>
      </c>
      <c r="E19" s="117"/>
      <c r="F19" s="117"/>
      <c r="G19" s="107"/>
      <c r="H19" s="107"/>
      <c r="I19" s="107"/>
      <c r="J19" s="107"/>
      <c r="K19" s="107"/>
      <c r="L19" s="107"/>
      <c r="M19" s="104"/>
      <c r="N19" s="107"/>
      <c r="O19" s="107"/>
      <c r="P19" s="107"/>
      <c r="Q19" s="107"/>
      <c r="R19" s="104"/>
      <c r="S19" s="104"/>
      <c r="T19" s="104"/>
      <c r="U19" s="104"/>
      <c r="V19" s="104"/>
      <c r="W19" s="104"/>
    </row>
    <row r="20" spans="1:23" ht="24" customHeight="1" thickTop="1" thickBot="1" x14ac:dyDescent="0.3">
      <c r="A20" s="43" t="s">
        <v>1225</v>
      </c>
      <c r="B20" s="43">
        <v>182</v>
      </c>
      <c r="C20" s="41" t="s">
        <v>1457</v>
      </c>
      <c r="D20" s="92">
        <v>4</v>
      </c>
      <c r="E20" s="110"/>
      <c r="F20" s="110"/>
      <c r="G20" s="104"/>
      <c r="H20" s="104"/>
      <c r="I20" s="14">
        <v>1</v>
      </c>
      <c r="J20" s="90">
        <v>2</v>
      </c>
      <c r="K20" s="114"/>
      <c r="L20" s="107"/>
      <c r="M20" s="104"/>
      <c r="N20" s="104"/>
      <c r="O20" s="107"/>
      <c r="P20" s="107"/>
      <c r="Q20" s="107"/>
      <c r="R20" s="104"/>
      <c r="S20" s="104"/>
      <c r="T20" s="104"/>
      <c r="U20" s="104"/>
      <c r="V20" s="104"/>
      <c r="W20" s="104"/>
    </row>
    <row r="21" spans="1:23" ht="24" customHeight="1" thickTop="1" x14ac:dyDescent="0.25">
      <c r="A21" s="43" t="s">
        <v>1225</v>
      </c>
      <c r="B21" s="43">
        <v>180</v>
      </c>
      <c r="C21" s="41" t="s">
        <v>1550</v>
      </c>
      <c r="D21" s="107"/>
      <c r="E21" s="107"/>
      <c r="F21" s="107"/>
      <c r="G21" s="107"/>
      <c r="H21" s="107"/>
      <c r="I21" s="107"/>
      <c r="J21" s="91">
        <v>3</v>
      </c>
      <c r="K21" s="117"/>
      <c r="L21" s="107"/>
      <c r="M21" s="104"/>
      <c r="N21" s="107"/>
      <c r="O21" s="107"/>
      <c r="P21" s="107"/>
      <c r="Q21" s="104"/>
      <c r="R21" s="104"/>
      <c r="S21" s="104"/>
      <c r="T21" s="104"/>
      <c r="U21" s="104"/>
      <c r="V21" s="104"/>
      <c r="W21" s="104"/>
    </row>
    <row r="22" spans="1:23" ht="24" customHeight="1" thickBot="1" x14ac:dyDescent="0.3">
      <c r="A22" s="43" t="s">
        <v>1225</v>
      </c>
      <c r="B22" s="43">
        <v>91</v>
      </c>
      <c r="C22" s="41" t="s">
        <v>1458</v>
      </c>
      <c r="D22" s="104"/>
      <c r="E22" s="104"/>
      <c r="F22" s="107"/>
      <c r="G22" s="107"/>
      <c r="H22" s="107"/>
      <c r="I22" s="104"/>
      <c r="J22" s="118">
        <v>1</v>
      </c>
      <c r="K22" s="110"/>
      <c r="L22" s="104"/>
      <c r="M22" s="104"/>
      <c r="N22" s="104"/>
      <c r="O22" s="116">
        <v>1</v>
      </c>
      <c r="P22" s="110"/>
      <c r="Q22" s="107"/>
      <c r="R22" s="104"/>
      <c r="S22" s="104"/>
      <c r="T22" s="104"/>
      <c r="U22" s="104"/>
      <c r="V22" s="104"/>
      <c r="W22" s="104"/>
    </row>
    <row r="23" spans="1:23" ht="24" customHeight="1" thickTop="1" thickBot="1" x14ac:dyDescent="0.3">
      <c r="A23" s="43" t="s">
        <v>1225</v>
      </c>
      <c r="B23" s="43">
        <v>90</v>
      </c>
      <c r="C23" s="41" t="s">
        <v>1459</v>
      </c>
      <c r="D23" s="107"/>
      <c r="E23" s="104"/>
      <c r="F23" s="107"/>
      <c r="G23" s="107"/>
      <c r="H23" s="107"/>
      <c r="I23" s="14">
        <v>1</v>
      </c>
      <c r="J23" s="104"/>
      <c r="K23" s="107"/>
      <c r="L23" s="107"/>
      <c r="M23" s="104"/>
      <c r="N23" s="104"/>
      <c r="O23" s="116">
        <v>3</v>
      </c>
      <c r="P23" s="110"/>
      <c r="Q23" s="107"/>
      <c r="R23" s="104"/>
      <c r="S23" s="104"/>
      <c r="T23" s="104"/>
      <c r="U23" s="104"/>
      <c r="V23" s="104"/>
      <c r="W23" s="104"/>
    </row>
    <row r="24" spans="1:23" ht="24" customHeight="1" thickTop="1" thickBot="1" x14ac:dyDescent="0.3">
      <c r="A24" s="43" t="s">
        <v>1225</v>
      </c>
      <c r="B24" s="43">
        <v>30</v>
      </c>
      <c r="C24" s="41" t="s">
        <v>1460</v>
      </c>
      <c r="D24" s="92">
        <v>3</v>
      </c>
      <c r="E24" s="110"/>
      <c r="F24" s="110"/>
      <c r="G24" s="109">
        <v>1</v>
      </c>
      <c r="H24" s="107"/>
      <c r="I24" s="109">
        <v>3</v>
      </c>
      <c r="J24" s="116">
        <v>1</v>
      </c>
      <c r="K24" s="110"/>
      <c r="L24" s="107"/>
      <c r="M24" s="104"/>
      <c r="N24" s="109">
        <v>3</v>
      </c>
      <c r="O24" s="116">
        <v>1</v>
      </c>
      <c r="P24" s="110"/>
      <c r="Q24" s="107"/>
      <c r="R24" s="109">
        <v>3</v>
      </c>
      <c r="S24" s="104"/>
      <c r="T24" s="104"/>
      <c r="U24" s="104"/>
      <c r="V24" s="104"/>
      <c r="W24" s="104"/>
    </row>
    <row r="25" spans="1:23" ht="24" customHeight="1" thickTop="1" thickBot="1" x14ac:dyDescent="0.3">
      <c r="A25" s="43" t="s">
        <v>1225</v>
      </c>
      <c r="B25" s="43">
        <v>28</v>
      </c>
      <c r="C25" s="41" t="s">
        <v>1461</v>
      </c>
      <c r="D25" s="107"/>
      <c r="E25" s="104"/>
      <c r="F25" s="107"/>
      <c r="G25" s="14">
        <v>1</v>
      </c>
      <c r="H25" s="107"/>
      <c r="I25" s="104"/>
      <c r="J25" s="90">
        <v>1</v>
      </c>
      <c r="K25" s="114"/>
      <c r="L25" s="107"/>
      <c r="M25" s="107"/>
      <c r="N25" s="107"/>
      <c r="O25" s="90">
        <v>1</v>
      </c>
      <c r="P25" s="114"/>
      <c r="Q25" s="107"/>
      <c r="R25" s="104"/>
      <c r="S25" s="104"/>
      <c r="T25" s="104"/>
      <c r="U25" s="104"/>
      <c r="V25" s="104"/>
      <c r="W25" s="104"/>
    </row>
    <row r="26" spans="1:23" ht="24" customHeight="1" thickTop="1" thickBot="1" x14ac:dyDescent="0.3">
      <c r="A26" s="43" t="s">
        <v>1225</v>
      </c>
      <c r="B26" s="43">
        <v>0</v>
      </c>
      <c r="C26" s="41" t="s">
        <v>1462</v>
      </c>
      <c r="D26" s="90">
        <v>1</v>
      </c>
      <c r="E26" s="114"/>
      <c r="F26" s="114"/>
      <c r="G26" s="104"/>
      <c r="H26" s="104"/>
      <c r="I26" s="14">
        <v>1</v>
      </c>
      <c r="J26" s="90">
        <v>1</v>
      </c>
      <c r="K26" s="114"/>
      <c r="L26" s="107"/>
      <c r="M26" s="104"/>
      <c r="N26" s="107"/>
      <c r="O26" s="104"/>
      <c r="P26" s="107"/>
      <c r="Q26" s="107"/>
      <c r="R26" s="104"/>
      <c r="S26" s="104"/>
      <c r="T26" s="104"/>
      <c r="U26" s="104"/>
      <c r="V26" s="104"/>
      <c r="W26" s="104"/>
    </row>
    <row r="27" spans="1:23" ht="24" customHeight="1" thickTop="1" x14ac:dyDescent="0.25">
      <c r="A27" s="105"/>
      <c r="B27" s="105"/>
      <c r="C27" s="106"/>
      <c r="D27" s="104"/>
      <c r="E27" s="104"/>
      <c r="F27" s="104"/>
      <c r="G27" s="104"/>
      <c r="H27" s="104"/>
      <c r="I27" s="104"/>
      <c r="J27" s="104"/>
      <c r="K27" s="107"/>
      <c r="L27" s="107"/>
      <c r="M27" s="104"/>
      <c r="N27" s="107"/>
      <c r="O27" s="104"/>
      <c r="P27" s="107"/>
      <c r="Q27" s="107"/>
      <c r="R27" s="104"/>
      <c r="S27" s="104"/>
      <c r="T27" s="104"/>
      <c r="U27" s="104"/>
      <c r="V27" s="104"/>
      <c r="W27" s="104"/>
    </row>
    <row r="28" spans="1:23" x14ac:dyDescent="0.25">
      <c r="A28" s="104"/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</row>
    <row r="29" spans="1:23" x14ac:dyDescent="0.25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</row>
    <row r="30" spans="1:23" x14ac:dyDescent="0.25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</row>
    <row r="31" spans="1:23" x14ac:dyDescent="0.25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</row>
    <row r="32" spans="1:23" x14ac:dyDescent="0.25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</row>
    <row r="33" spans="1:23" x14ac:dyDescent="0.25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</row>
    <row r="34" spans="1:23" x14ac:dyDescent="0.25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</row>
    <row r="35" spans="1:23" x14ac:dyDescent="0.25">
      <c r="A35" s="104"/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</row>
    <row r="36" spans="1:23" x14ac:dyDescent="0.25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</row>
  </sheetData>
  <mergeCells count="29">
    <mergeCell ref="J25:K25"/>
    <mergeCell ref="O25:P25"/>
    <mergeCell ref="D26:F26"/>
    <mergeCell ref="J26:K26"/>
    <mergeCell ref="J22:K22"/>
    <mergeCell ref="O22:P22"/>
    <mergeCell ref="O23:P23"/>
    <mergeCell ref="D24:F24"/>
    <mergeCell ref="J24:K24"/>
    <mergeCell ref="O24:P24"/>
    <mergeCell ref="O15:P15"/>
    <mergeCell ref="A1:C1"/>
    <mergeCell ref="D8:F8"/>
    <mergeCell ref="J9:K9"/>
    <mergeCell ref="D10:F10"/>
    <mergeCell ref="J10:K10"/>
    <mergeCell ref="O12:P12"/>
    <mergeCell ref="J14:K14"/>
    <mergeCell ref="D15:F15"/>
    <mergeCell ref="J15:K15"/>
    <mergeCell ref="O10:P10"/>
    <mergeCell ref="O6:P6"/>
    <mergeCell ref="O9:P9"/>
    <mergeCell ref="J21:K21"/>
    <mergeCell ref="D17:F17"/>
    <mergeCell ref="D18:F18"/>
    <mergeCell ref="D19:F19"/>
    <mergeCell ref="D20:F20"/>
    <mergeCell ref="J20:K20"/>
  </mergeCells>
  <hyperlinks>
    <hyperlink ref="F1" location="'ZZ382_CHART'!A1" display="ZZ382" xr:uid="{85934431-0036-4A5C-8EE2-457D96410FDD}"/>
    <hyperlink ref="G1" location="'ZZ388_CHART'!A1" display="ZZ388" xr:uid="{F9FA8DA4-10BF-4244-853B-30AB3D7E25BD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1889" r:id="rId3" name="ZZ388_btnReturn">
              <controlPr defaultSize="0" print="0" autoFill="0" autoPict="0" macro="[0]!GoToDashboard">
                <anchor moveWithCells="1" sizeWithCells="1">
                  <from>
                    <xdr:col>0</xdr:col>
                    <xdr:colOff>66675</xdr:colOff>
                    <xdr:row>1</xdr:row>
                    <xdr:rowOff>28575</xdr:rowOff>
                  </from>
                  <to>
                    <xdr:col>0</xdr:col>
                    <xdr:colOff>895350</xdr:colOff>
                    <xdr:row>1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890" r:id="rId4" name="ZZ388_btnWorkPack">
              <controlPr defaultSize="0" print="0" autoFill="0" autoPict="0" macro="[0]!GenerateWordWorkPack">
                <anchor moveWithCells="1" sizeWithCells="1">
                  <from>
                    <xdr:col>1</xdr:col>
                    <xdr:colOff>66675</xdr:colOff>
                    <xdr:row>1</xdr:row>
                    <xdr:rowOff>28575</xdr:rowOff>
                  </from>
                  <to>
                    <xdr:col>1</xdr:col>
                    <xdr:colOff>895350</xdr:colOff>
                    <xdr:row>1</xdr:row>
                    <xdr:rowOff>590550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1891" r:id="rId5" name="ZZ388_btnReimport">
              <controlPr defaultSize="0" print="0" autoFill="0" autoPict="0" macro="[0]!ReimportFromChartButton">
                <anchor moveWithCells="1" sizeWithCells="1">
                  <from>
                    <xdr:col>2</xdr:col>
                    <xdr:colOff>66675</xdr:colOff>
                    <xdr:row>1</xdr:row>
                    <xdr:rowOff>28575</xdr:rowOff>
                  </from>
                  <to>
                    <xdr:col>2</xdr:col>
                    <xdr:colOff>885825</xdr:colOff>
                    <xdr:row>1</xdr:row>
                    <xdr:rowOff>590550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25</vt:i4>
      </vt:variant>
    </vt:vector>
  </HeadingPairs>
  <TitlesOfParts>
    <vt:vector size="34" baseType="lpstr">
      <vt:lpstr>TODO</vt:lpstr>
      <vt:lpstr>Task_Rules</vt:lpstr>
      <vt:lpstr>Settings</vt:lpstr>
      <vt:lpstr>Rotation</vt:lpstr>
      <vt:lpstr>Dashboard</vt:lpstr>
      <vt:lpstr>ZZ382_IMPORT</vt:lpstr>
      <vt:lpstr>ZZ382_CHART</vt:lpstr>
      <vt:lpstr>ZZ388_IMPORT</vt:lpstr>
      <vt:lpstr>ZZ388_CHART</vt:lpstr>
      <vt:lpstr>AlignmentThreshold</vt:lpstr>
      <vt:lpstr>CycleLength</vt:lpstr>
      <vt:lpstr>DashboardSortOrder</vt:lpstr>
      <vt:lpstr>EnableTaskAlignment</vt:lpstr>
      <vt:lpstr>FlyingWeek1E1Rate</vt:lpstr>
      <vt:lpstr>FlyingWeek1E2Rate</vt:lpstr>
      <vt:lpstr>FlyingWeek1HHRate</vt:lpstr>
      <vt:lpstr>FlyingWeek2E1Rate</vt:lpstr>
      <vt:lpstr>FlyingWeek2E2Rate</vt:lpstr>
      <vt:lpstr>FlyingWeek2HHRate</vt:lpstr>
      <vt:lpstr>FlyingWeek3E1Rate</vt:lpstr>
      <vt:lpstr>FlyingWeek3E2Rate</vt:lpstr>
      <vt:lpstr>FlyingWeek3HHRate</vt:lpstr>
      <vt:lpstr>FlyingWeeks</vt:lpstr>
      <vt:lpstr>FlyingWeeksPerCycle</vt:lpstr>
      <vt:lpstr>ForecastEnd</vt:lpstr>
      <vt:lpstr>ForecastStart</vt:lpstr>
      <vt:lpstr>ForecastStartMode</vt:lpstr>
      <vt:lpstr>MaintenanceWeeks</vt:lpstr>
      <vt:lpstr>MaxAircraftSlots</vt:lpstr>
      <vt:lpstr>MaxExtensionPercent</vt:lpstr>
      <vt:lpstr>PullThreshold</vt:lpstr>
      <vt:lpstr>ReforecastThreshold</vt:lpstr>
      <vt:lpstr>WeeksBeforeForecastStart</vt:lpstr>
      <vt:lpstr>WeeksShown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Flynn, Christopher Sgt (1AAC-WKSP-659SMG-SenSupAv02)</cp:lastModifiedBy>
  <cp:revision>0</cp:revision>
  <dcterms:created xsi:type="dcterms:W3CDTF">2026-05-08T16:37:47Z</dcterms:created>
  <dcterms:modified xsi:type="dcterms:W3CDTF">2026-07-07T10:27:12Z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a60473-494b-4586-a1bb-b0e663054676_Enabled">
    <vt:lpwstr>true</vt:lpwstr>
  </property>
  <property fmtid="{D5CDD505-2E9C-101B-9397-08002B2CF9AE}" pid="3" name="MSIP_Label_d8a60473-494b-4586-a1bb-b0e663054676_SetDate">
    <vt:lpwstr>2026-05-11T17:58:37Z</vt:lpwstr>
  </property>
  <property fmtid="{D5CDD505-2E9C-101B-9397-08002B2CF9AE}" pid="4" name="MSIP_Label_d8a60473-494b-4586-a1bb-b0e663054676_Method">
    <vt:lpwstr>Privileged</vt:lpwstr>
  </property>
  <property fmtid="{D5CDD505-2E9C-101B-9397-08002B2CF9AE}" pid="5" name="MSIP_Label_d8a60473-494b-4586-a1bb-b0e663054676_Name">
    <vt:lpwstr>MOD-1-O-‘UNMARKED’</vt:lpwstr>
  </property>
  <property fmtid="{D5CDD505-2E9C-101B-9397-08002B2CF9AE}" pid="6" name="MSIP_Label_d8a60473-494b-4586-a1bb-b0e663054676_SiteId">
    <vt:lpwstr>be7760ed-5953-484b-ae95-d0a16dfa09e5</vt:lpwstr>
  </property>
  <property fmtid="{D5CDD505-2E9C-101B-9397-08002B2CF9AE}" pid="7" name="MSIP_Label_d8a60473-494b-4586-a1bb-b0e663054676_ActionId">
    <vt:lpwstr>3979690a-f652-46bf-9ffc-6a9fff1fd27b</vt:lpwstr>
  </property>
  <property fmtid="{D5CDD505-2E9C-101B-9397-08002B2CF9AE}" pid="8" name="MSIP_Label_d8a60473-494b-4586-a1bb-b0e663054676_ContentBits">
    <vt:lpwstr>0</vt:lpwstr>
  </property>
  <property fmtid="{D5CDD505-2E9C-101B-9397-08002B2CF9AE}" pid="9" name="MSIP_Label_d8a60473-494b-4586-a1bb-b0e663054676_Tag">
    <vt:lpwstr>10, 0, 1, 1</vt:lpwstr>
  </property>
</Properties>
</file>